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qprd-my.sharepoint.com/personal/u8019357_usq_edu_au/Documents/00_Projects/2023.12.13 APSIM Sesame/02_Simulations/APSIM Validation/Main/"/>
    </mc:Choice>
  </mc:AlternateContent>
  <xr:revisionPtr revIDLastSave="576" documentId="13_ncr:1_{1605DE0B-CEC9-4075-ADB6-34BE7989D772}" xr6:coauthVersionLast="47" xr6:coauthVersionMax="47" xr10:uidLastSave="{A690EBBD-530F-4791-826D-5EC0DED944C3}"/>
  <bookViews>
    <workbookView xWindow="-120" yWindow="-120" windowWidth="29040" windowHeight="15720" xr2:uid="{857C0208-4D04-4514-A3CE-6D305A175862}"/>
  </bookViews>
  <sheets>
    <sheet name="Observe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58" i="1" l="1"/>
  <c r="O58" i="1"/>
  <c r="P57" i="1"/>
  <c r="O57" i="1"/>
  <c r="G57" i="1" l="1"/>
  <c r="G58" i="1"/>
</calcChain>
</file>

<file path=xl/sharedStrings.xml><?xml version="1.0" encoding="utf-8"?>
<sst xmlns="http://schemas.openxmlformats.org/spreadsheetml/2006/main" count="449" uniqueCount="77">
  <si>
    <t>SimulationName</t>
  </si>
  <si>
    <t>Clock.Today</t>
  </si>
  <si>
    <t>ShellAndGrainLiveWt</t>
  </si>
  <si>
    <t>Maturity</t>
  </si>
  <si>
    <t>Emergence</t>
  </si>
  <si>
    <t>TullyWaterWet</t>
  </si>
  <si>
    <t>StartFlowering</t>
  </si>
  <si>
    <t>StartPodDevelopment</t>
  </si>
  <si>
    <t>StartGrainFilling</t>
  </si>
  <si>
    <t>EndCanopyDevelopment</t>
  </si>
  <si>
    <t>EndPodDevelopment</t>
  </si>
  <si>
    <t>EndGrainFilling</t>
  </si>
  <si>
    <t>EndDrydown</t>
  </si>
  <si>
    <t>Bikaner2017SowingJuly10</t>
  </si>
  <si>
    <t>Bikaner2017SowingJuly20</t>
  </si>
  <si>
    <t>Bikaner2017SowingJuly30</t>
  </si>
  <si>
    <t>Bikaner2017SowingAug09</t>
  </si>
  <si>
    <t>MashadYear2015</t>
  </si>
  <si>
    <t>MashadYear2016</t>
  </si>
  <si>
    <t>ForestHomeYear2018-6821</t>
  </si>
  <si>
    <t>ForestHomeYear2018-6824</t>
  </si>
  <si>
    <t>Harvest</t>
  </si>
  <si>
    <t>Emerald22Sum_B_IR</t>
  </si>
  <si>
    <t>Emerald23Sum_B_IR_Jan</t>
  </si>
  <si>
    <t>Emerald23Sum_B_IR_Feb</t>
  </si>
  <si>
    <t>Emerald23Sum_B_RF_Jan</t>
  </si>
  <si>
    <t>Emerald23Sum_B_RF_Feb</t>
  </si>
  <si>
    <t>Tully23Win_B_0_RF</t>
  </si>
  <si>
    <t>Tully23Win_B_40_RF</t>
  </si>
  <si>
    <t>Tully23Win_B_80_RF</t>
  </si>
  <si>
    <t>Tully23Win_B_120_RF</t>
  </si>
  <si>
    <t>Tully22Sum_B_RF</t>
  </si>
  <si>
    <t>Katherine22Sum_B_RF</t>
  </si>
  <si>
    <t>Katherine23Win_B_IR</t>
  </si>
  <si>
    <t>Emerald22Sum_W103_IR</t>
  </si>
  <si>
    <t>Emerald23Sum_W103_IR_Jan</t>
  </si>
  <si>
    <t>Emerald23Sum_W103_IR_Feb</t>
  </si>
  <si>
    <t>Emerald23Sum_W103_RF_Jan</t>
  </si>
  <si>
    <t>Emerald23Sum_W103_RF_Feb</t>
  </si>
  <si>
    <t>Katherine22Sum_W103_RF</t>
  </si>
  <si>
    <t>Katherine23Win_W103_IR</t>
  </si>
  <si>
    <t>Katherine24Win_W103_IR_Feb</t>
  </si>
  <si>
    <t>Katherine24Win_B_IR_Feb</t>
  </si>
  <si>
    <t>Katherine24Win_W103_IR_May</t>
  </si>
  <si>
    <t>Katherine24Win_B_IR_May</t>
  </si>
  <si>
    <t>Katherine24Win_W313_IR_May</t>
  </si>
  <si>
    <t>Kununurra23Win_W103_IR</t>
  </si>
  <si>
    <t>Kununurra23Win_B_IR</t>
  </si>
  <si>
    <t>Tully22Sum_W103_RF</t>
  </si>
  <si>
    <t>Tully23Win_W103_40_RF</t>
  </si>
  <si>
    <t>Tully23Win_W103_80_RF</t>
  </si>
  <si>
    <t>Tully23Win_W103_120_RF</t>
  </si>
  <si>
    <t>Tully23Win_W103_0_RF</t>
  </si>
  <si>
    <t>Tully24Win_B_RF</t>
  </si>
  <si>
    <t>Tully24Win_W103_RF</t>
  </si>
  <si>
    <t>Tully24Win_W313_RF</t>
  </si>
  <si>
    <t>StartBranching</t>
  </si>
  <si>
    <t>Kununurra24Sum_W313_80_IR_Dec</t>
  </si>
  <si>
    <t>Kununurra24Sum_W313_80_IR_Oct</t>
  </si>
  <si>
    <t>Kununurra24Sum_W3301_0_IR_Dec</t>
  </si>
  <si>
    <t>Kununurra24Sum_W3301_120_IR_Dec</t>
  </si>
  <si>
    <t>Kununurra24Sum_W3301_40_IR_Dec</t>
  </si>
  <si>
    <t>Kununurra24Sum_W3301_80_IR_Dec</t>
  </si>
  <si>
    <t>Kununurra24Sum_W3301_80_IR_Oct</t>
  </si>
  <si>
    <t>CurrentStageName</t>
  </si>
  <si>
    <t>DaysAfterSowing</t>
  </si>
  <si>
    <t>Population</t>
  </si>
  <si>
    <t>PopulationError</t>
  </si>
  <si>
    <t>AboveGroundWt</t>
  </si>
  <si>
    <t>AboveGroundWtError</t>
  </si>
  <si>
    <t>GrainWt</t>
  </si>
  <si>
    <t>GrainWtError</t>
  </si>
  <si>
    <t>BranchNumber</t>
  </si>
  <si>
    <t>Height</t>
  </si>
  <si>
    <t>CoverGreen</t>
  </si>
  <si>
    <t>LeafLiveWt</t>
  </si>
  <si>
    <t>StemLiveWt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</si>
</sst>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yyyy\-mm\-dd;@"/>
    <numFmt numFmtId="166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206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2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65" fontId="0" fillId="0" borderId="0" xfId="0" applyNumberFormat="1" applyAlignment="1">
      <alignment horizontal="left" vertical="center"/>
    </xf>
    <xf numFmtId="164" fontId="0" fillId="0" borderId="0" xfId="0" applyNumberFormat="1" applyAlignment="1">
      <alignment horizontal="left" vertical="center"/>
    </xf>
    <xf numFmtId="166" fontId="0" fillId="0" borderId="0" xfId="0" applyNumberFormat="1" applyAlignment="1">
      <alignment horizontal="left" vertical="center"/>
    </xf>
    <xf numFmtId="2" fontId="0" fillId="0" borderId="0" xfId="0" applyNumberFormat="1" applyAlignment="1">
      <alignment horizontal="left" vertical="center"/>
    </xf>
    <xf numFmtId="165" fontId="0" fillId="2" borderId="0" xfId="0" applyNumberForma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6989-EFA1-4A52-A33D-F91BC2581CF8}">
  <dimension ref="A1:P233"/>
  <sheetViews>
    <sheetView tabSelected="1" zoomScaleNormal="100" workbookViewId="0">
      <pane xSplit="1" ySplit="1" topLeftCell="B58" activePane="bottomRight" state="frozen"/>
      <selection pane="topRight" activeCell="B1" sqref="B1"/>
      <selection pane="bottomLeft" activeCell="A2" sqref="A2"/>
      <selection pane="bottomRight" activeCell="A70" sqref="A70:L110"/>
    </sheetView>
  </sheetViews>
  <sheetFormatPr defaultRowHeight="15" x14ac:dyDescent="0.25"/>
  <cols>
    <col min="1" max="1" width="34.85546875" style="2" bestFit="1" customWidth="1"/>
    <col min="2" max="2" width="11.5703125" style="8" bestFit="1" customWidth="1"/>
    <col min="3" max="3" width="23.42578125" style="2" bestFit="1" customWidth="1"/>
    <col min="4" max="4" width="16.28515625" style="2" bestFit="1" customWidth="1"/>
    <col min="5" max="5" width="10.7109375" style="2" bestFit="1" customWidth="1"/>
    <col min="6" max="6" width="15.140625" style="2" bestFit="1" customWidth="1"/>
    <col min="7" max="7" width="16.28515625" style="2" bestFit="1" customWidth="1"/>
    <col min="8" max="8" width="20.7109375" style="2" bestFit="1" customWidth="1"/>
    <col min="9" max="9" width="8.5703125" style="2" bestFit="1" customWidth="1"/>
    <col min="10" max="10" width="12.85546875" style="2" bestFit="1" customWidth="1"/>
    <col min="11" max="11" width="14.42578125" style="2" bestFit="1" customWidth="1"/>
    <col min="12" max="12" width="6.85546875" style="2" bestFit="1" customWidth="1"/>
    <col min="13" max="13" width="11.7109375" style="2" bestFit="1" customWidth="1"/>
    <col min="14" max="14" width="11" style="2" bestFit="1" customWidth="1"/>
    <col min="15" max="15" width="11.85546875" style="2" bestFit="1" customWidth="1"/>
    <col min="16" max="16" width="20.42578125" style="2" bestFit="1" customWidth="1"/>
    <col min="17" max="16384" width="9.140625" style="2"/>
  </cols>
  <sheetData>
    <row r="1" spans="1:16" x14ac:dyDescent="0.25">
      <c r="A1" s="4" t="s">
        <v>0</v>
      </c>
      <c r="B1" s="3" t="s">
        <v>1</v>
      </c>
      <c r="C1" s="3" t="s">
        <v>64</v>
      </c>
      <c r="D1" s="6" t="s">
        <v>65</v>
      </c>
      <c r="E1" s="6" t="s">
        <v>66</v>
      </c>
      <c r="F1" s="6" t="s">
        <v>67</v>
      </c>
      <c r="G1" s="6" t="s">
        <v>68</v>
      </c>
      <c r="H1" s="6" t="s">
        <v>69</v>
      </c>
      <c r="I1" s="3" t="s">
        <v>70</v>
      </c>
      <c r="J1" s="3" t="s">
        <v>71</v>
      </c>
      <c r="K1" s="3" t="s">
        <v>72</v>
      </c>
      <c r="L1" s="6" t="s">
        <v>73</v>
      </c>
      <c r="M1" s="4" t="s">
        <v>74</v>
      </c>
      <c r="N1" s="6" t="s">
        <v>75</v>
      </c>
      <c r="O1" s="6" t="s">
        <v>76</v>
      </c>
      <c r="P1" s="6" t="s">
        <v>2</v>
      </c>
    </row>
    <row r="2" spans="1:16" x14ac:dyDescent="0.25">
      <c r="A2" s="7" t="s">
        <v>17</v>
      </c>
      <c r="C2" s="1" t="s">
        <v>4</v>
      </c>
      <c r="D2" s="9">
        <v>8</v>
      </c>
      <c r="E2" s="9"/>
      <c r="F2" s="9"/>
      <c r="G2" s="9"/>
      <c r="H2" s="9"/>
      <c r="M2" s="10">
        <v>0</v>
      </c>
      <c r="N2" s="11"/>
      <c r="O2" s="11"/>
      <c r="P2" s="11"/>
    </row>
    <row r="3" spans="1:16" x14ac:dyDescent="0.25">
      <c r="A3" s="7" t="s">
        <v>17</v>
      </c>
      <c r="C3" s="1" t="s">
        <v>6</v>
      </c>
      <c r="D3" s="9">
        <v>60</v>
      </c>
      <c r="E3" s="9"/>
      <c r="F3" s="9"/>
      <c r="G3" s="9"/>
      <c r="H3" s="9"/>
      <c r="M3" s="10">
        <v>0</v>
      </c>
      <c r="N3" s="11"/>
      <c r="O3" s="11"/>
      <c r="P3" s="11"/>
    </row>
    <row r="4" spans="1:16" x14ac:dyDescent="0.25">
      <c r="A4" s="7" t="s">
        <v>17</v>
      </c>
      <c r="C4" s="1" t="s">
        <v>3</v>
      </c>
      <c r="D4" s="9">
        <v>127</v>
      </c>
      <c r="E4" s="9"/>
      <c r="F4" s="9"/>
      <c r="G4" s="9"/>
      <c r="H4" s="9"/>
      <c r="M4" s="10">
        <v>0</v>
      </c>
      <c r="N4" s="11"/>
      <c r="O4" s="11"/>
      <c r="P4" s="11"/>
    </row>
    <row r="5" spans="1:16" x14ac:dyDescent="0.25">
      <c r="A5" s="7" t="s">
        <v>17</v>
      </c>
      <c r="D5" s="9">
        <v>151</v>
      </c>
      <c r="E5" s="9"/>
      <c r="F5" s="9"/>
      <c r="G5" s="9"/>
      <c r="H5" s="9"/>
      <c r="M5" s="10">
        <v>0</v>
      </c>
      <c r="N5" s="11"/>
      <c r="O5" s="11"/>
      <c r="P5" s="11"/>
    </row>
    <row r="6" spans="1:16" x14ac:dyDescent="0.25">
      <c r="A6" s="7" t="s">
        <v>18</v>
      </c>
      <c r="C6" s="1" t="s">
        <v>4</v>
      </c>
      <c r="D6" s="9">
        <v>7</v>
      </c>
      <c r="E6" s="9"/>
      <c r="F6" s="9"/>
      <c r="G6" s="9"/>
      <c r="H6" s="9"/>
      <c r="M6" s="10">
        <v>0</v>
      </c>
      <c r="N6" s="11"/>
      <c r="O6" s="11"/>
      <c r="P6" s="11"/>
    </row>
    <row r="7" spans="1:16" x14ac:dyDescent="0.25">
      <c r="A7" s="7" t="s">
        <v>18</v>
      </c>
      <c r="C7" s="1" t="s">
        <v>6</v>
      </c>
      <c r="D7" s="9">
        <v>58</v>
      </c>
      <c r="E7" s="9"/>
      <c r="F7" s="9"/>
      <c r="G7" s="9"/>
      <c r="H7" s="9"/>
      <c r="M7" s="10">
        <v>0</v>
      </c>
      <c r="N7" s="11"/>
      <c r="O7" s="11"/>
      <c r="P7" s="11"/>
    </row>
    <row r="8" spans="1:16" x14ac:dyDescent="0.25">
      <c r="A8" s="7" t="s">
        <v>18</v>
      </c>
      <c r="C8" s="1" t="s">
        <v>3</v>
      </c>
      <c r="D8" s="9">
        <v>125</v>
      </c>
      <c r="E8" s="9"/>
      <c r="F8" s="9"/>
      <c r="G8" s="9"/>
      <c r="H8" s="9"/>
      <c r="M8" s="10">
        <v>0</v>
      </c>
      <c r="N8" s="11"/>
      <c r="O8" s="11"/>
      <c r="P8" s="11"/>
    </row>
    <row r="9" spans="1:16" x14ac:dyDescent="0.25">
      <c r="A9" s="7" t="s">
        <v>18</v>
      </c>
      <c r="D9" s="9">
        <v>149</v>
      </c>
      <c r="E9" s="9"/>
      <c r="F9" s="9"/>
      <c r="G9" s="9"/>
      <c r="H9" s="9"/>
      <c r="M9" s="10">
        <v>0</v>
      </c>
      <c r="N9" s="11"/>
      <c r="O9" s="11"/>
      <c r="P9" s="11"/>
    </row>
    <row r="10" spans="1:16" x14ac:dyDescent="0.25">
      <c r="A10" s="7" t="s">
        <v>17</v>
      </c>
      <c r="B10" s="8">
        <v>42152</v>
      </c>
      <c r="G10" s="9"/>
      <c r="H10" s="9"/>
      <c r="M10" s="10">
        <v>8.199999999999999E-2</v>
      </c>
      <c r="N10" s="11"/>
      <c r="O10" s="11"/>
      <c r="P10" s="11"/>
    </row>
    <row r="11" spans="1:16" x14ac:dyDescent="0.25">
      <c r="A11" s="7" t="s">
        <v>17</v>
      </c>
      <c r="B11" s="8">
        <v>42166</v>
      </c>
      <c r="G11" s="9"/>
      <c r="H11" s="9"/>
      <c r="M11" s="10">
        <v>0.38</v>
      </c>
      <c r="N11" s="11"/>
      <c r="O11" s="11"/>
      <c r="P11" s="11"/>
    </row>
    <row r="12" spans="1:16" x14ac:dyDescent="0.25">
      <c r="A12" s="7" t="s">
        <v>17</v>
      </c>
      <c r="B12" s="8">
        <v>42180</v>
      </c>
      <c r="G12" s="9"/>
      <c r="H12" s="9"/>
      <c r="M12" s="10">
        <v>0.76500000000000001</v>
      </c>
      <c r="N12" s="11"/>
      <c r="O12" s="11"/>
      <c r="P12" s="11"/>
    </row>
    <row r="13" spans="1:16" x14ac:dyDescent="0.25">
      <c r="A13" s="7" t="s">
        <v>17</v>
      </c>
      <c r="B13" s="8">
        <v>42193</v>
      </c>
      <c r="G13" s="9"/>
      <c r="H13" s="9"/>
      <c r="M13" s="10">
        <v>0.83700000000000008</v>
      </c>
      <c r="N13" s="11"/>
      <c r="O13" s="11"/>
      <c r="P13" s="11"/>
    </row>
    <row r="14" spans="1:16" x14ac:dyDescent="0.25">
      <c r="A14" s="7" t="s">
        <v>17</v>
      </c>
      <c r="B14" s="8">
        <v>42207</v>
      </c>
      <c r="G14" s="9"/>
      <c r="H14" s="9"/>
      <c r="M14" s="10">
        <v>0.92500000000000004</v>
      </c>
      <c r="N14" s="11"/>
      <c r="O14" s="11"/>
      <c r="P14" s="11"/>
    </row>
    <row r="15" spans="1:16" x14ac:dyDescent="0.25">
      <c r="A15" s="7" t="s">
        <v>17</v>
      </c>
      <c r="B15" s="8">
        <v>42221</v>
      </c>
      <c r="G15" s="9"/>
      <c r="H15" s="9"/>
      <c r="M15" s="10">
        <v>0.92799999999999994</v>
      </c>
      <c r="N15" s="11"/>
      <c r="O15" s="11"/>
      <c r="P15" s="11"/>
    </row>
    <row r="16" spans="1:16" x14ac:dyDescent="0.25">
      <c r="A16" s="7" t="s">
        <v>17</v>
      </c>
      <c r="B16" s="8">
        <v>42235</v>
      </c>
      <c r="G16" s="9"/>
      <c r="H16" s="9"/>
      <c r="M16" s="10">
        <v>0.92700000000000005</v>
      </c>
      <c r="N16" s="11"/>
      <c r="O16" s="11"/>
      <c r="P16" s="11"/>
    </row>
    <row r="17" spans="1:16" x14ac:dyDescent="0.25">
      <c r="A17" s="7" t="s">
        <v>17</v>
      </c>
      <c r="B17" s="8">
        <v>42249</v>
      </c>
      <c r="G17" s="9"/>
      <c r="H17" s="9"/>
      <c r="M17" s="10">
        <v>0.85099999999999998</v>
      </c>
      <c r="N17" s="11"/>
      <c r="O17" s="11"/>
      <c r="P17" s="11"/>
    </row>
    <row r="18" spans="1:16" x14ac:dyDescent="0.25">
      <c r="A18" s="7" t="s">
        <v>17</v>
      </c>
      <c r="B18" s="8">
        <v>42263</v>
      </c>
      <c r="G18" s="9"/>
      <c r="H18" s="9"/>
      <c r="M18" s="10">
        <v>0.8</v>
      </c>
      <c r="N18" s="11"/>
      <c r="O18" s="11"/>
      <c r="P18" s="11"/>
    </row>
    <row r="19" spans="1:16" x14ac:dyDescent="0.25">
      <c r="A19" s="7" t="s">
        <v>17</v>
      </c>
      <c r="B19" s="8">
        <v>42277</v>
      </c>
      <c r="G19" s="9"/>
      <c r="H19" s="9"/>
      <c r="M19" s="10">
        <v>0.75</v>
      </c>
      <c r="N19" s="11"/>
      <c r="O19" s="11"/>
      <c r="P19" s="11"/>
    </row>
    <row r="20" spans="1:16" x14ac:dyDescent="0.25">
      <c r="A20" s="7" t="s">
        <v>17</v>
      </c>
      <c r="B20" s="8">
        <v>42280</v>
      </c>
      <c r="G20" s="9">
        <v>350</v>
      </c>
      <c r="H20" s="9"/>
      <c r="I20" s="2">
        <v>101.52</v>
      </c>
      <c r="M20" s="10"/>
      <c r="N20" s="11"/>
      <c r="O20" s="11"/>
      <c r="P20" s="11"/>
    </row>
    <row r="21" spans="1:16" x14ac:dyDescent="0.25">
      <c r="A21" s="7" t="s">
        <v>13</v>
      </c>
      <c r="C21" s="1" t="s">
        <v>4</v>
      </c>
      <c r="D21" s="9">
        <v>4</v>
      </c>
      <c r="E21" s="9"/>
      <c r="F21" s="9"/>
      <c r="G21" s="9"/>
      <c r="H21" s="9"/>
      <c r="M21" s="10"/>
      <c r="N21" s="11"/>
      <c r="O21" s="11"/>
      <c r="P21" s="11"/>
    </row>
    <row r="22" spans="1:16" x14ac:dyDescent="0.25">
      <c r="A22" s="7" t="s">
        <v>13</v>
      </c>
      <c r="C22" s="1" t="s">
        <v>6</v>
      </c>
      <c r="D22" s="9">
        <v>41</v>
      </c>
      <c r="E22" s="9"/>
      <c r="F22" s="9"/>
      <c r="G22" s="9"/>
      <c r="H22" s="9"/>
      <c r="M22" s="10"/>
      <c r="N22" s="11"/>
      <c r="O22" s="11"/>
      <c r="P22" s="11"/>
    </row>
    <row r="23" spans="1:16" x14ac:dyDescent="0.25">
      <c r="A23" s="7" t="s">
        <v>13</v>
      </c>
      <c r="C23" s="1" t="s">
        <v>7</v>
      </c>
      <c r="D23" s="9">
        <v>51</v>
      </c>
      <c r="E23" s="9"/>
      <c r="F23" s="9"/>
      <c r="G23" s="9"/>
      <c r="H23" s="9"/>
      <c r="M23" s="10"/>
      <c r="N23" s="11"/>
      <c r="O23" s="11"/>
      <c r="P23" s="11"/>
    </row>
    <row r="24" spans="1:16" x14ac:dyDescent="0.25">
      <c r="A24" s="7" t="s">
        <v>13</v>
      </c>
      <c r="C24" s="1" t="s">
        <v>3</v>
      </c>
      <c r="D24" s="9">
        <v>84</v>
      </c>
      <c r="E24" s="9"/>
      <c r="F24" s="9"/>
      <c r="G24" s="9">
        <v>172</v>
      </c>
      <c r="H24" s="9"/>
      <c r="I24" s="2">
        <v>40.42</v>
      </c>
      <c r="M24" s="10"/>
      <c r="N24" s="11"/>
      <c r="O24" s="11"/>
      <c r="P24" s="11"/>
    </row>
    <row r="25" spans="1:16" x14ac:dyDescent="0.25">
      <c r="A25" s="7" t="s">
        <v>14</v>
      </c>
      <c r="C25" s="1" t="s">
        <v>4</v>
      </c>
      <c r="D25" s="9">
        <v>4</v>
      </c>
      <c r="E25" s="9"/>
      <c r="F25" s="9"/>
      <c r="G25" s="9"/>
      <c r="H25" s="9"/>
      <c r="M25" s="10"/>
      <c r="N25" s="11"/>
      <c r="O25" s="11"/>
      <c r="P25" s="11"/>
    </row>
    <row r="26" spans="1:16" x14ac:dyDescent="0.25">
      <c r="A26" s="7" t="s">
        <v>14</v>
      </c>
      <c r="C26" s="1" t="s">
        <v>6</v>
      </c>
      <c r="D26" s="9">
        <v>40</v>
      </c>
      <c r="E26" s="9"/>
      <c r="F26" s="9"/>
      <c r="G26" s="9"/>
      <c r="H26" s="9"/>
      <c r="M26" s="10"/>
      <c r="N26" s="11"/>
      <c r="O26" s="11"/>
      <c r="P26" s="11"/>
    </row>
    <row r="27" spans="1:16" x14ac:dyDescent="0.25">
      <c r="A27" s="7" t="s">
        <v>14</v>
      </c>
      <c r="C27" s="1" t="s">
        <v>7</v>
      </c>
      <c r="D27" s="9">
        <v>50</v>
      </c>
      <c r="E27" s="9"/>
      <c r="F27" s="9"/>
      <c r="G27" s="9"/>
      <c r="H27" s="9"/>
      <c r="M27" s="10"/>
      <c r="N27" s="11"/>
      <c r="O27" s="11"/>
      <c r="P27" s="11"/>
    </row>
    <row r="28" spans="1:16" x14ac:dyDescent="0.25">
      <c r="A28" s="7" t="s">
        <v>14</v>
      </c>
      <c r="C28" s="1" t="s">
        <v>3</v>
      </c>
      <c r="D28" s="9">
        <v>82</v>
      </c>
      <c r="E28" s="9"/>
      <c r="F28" s="9"/>
      <c r="G28" s="9">
        <v>165</v>
      </c>
      <c r="H28" s="9"/>
      <c r="I28" s="2">
        <v>38.54</v>
      </c>
      <c r="M28" s="10"/>
      <c r="N28" s="11"/>
      <c r="O28" s="11"/>
      <c r="P28" s="11"/>
    </row>
    <row r="29" spans="1:16" x14ac:dyDescent="0.25">
      <c r="A29" s="7" t="s">
        <v>15</v>
      </c>
      <c r="C29" s="1" t="s">
        <v>4</v>
      </c>
      <c r="D29" s="9">
        <v>5</v>
      </c>
      <c r="E29" s="9"/>
      <c r="F29" s="9"/>
      <c r="G29" s="9"/>
      <c r="H29" s="9"/>
      <c r="M29" s="10"/>
      <c r="N29" s="11"/>
      <c r="O29" s="11"/>
      <c r="P29" s="11"/>
    </row>
    <row r="30" spans="1:16" x14ac:dyDescent="0.25">
      <c r="A30" s="7" t="s">
        <v>15</v>
      </c>
      <c r="C30" s="1" t="s">
        <v>6</v>
      </c>
      <c r="D30" s="9">
        <v>38</v>
      </c>
      <c r="E30" s="9"/>
      <c r="F30" s="9"/>
      <c r="G30" s="9"/>
      <c r="H30" s="9"/>
      <c r="M30" s="10"/>
      <c r="N30" s="11"/>
      <c r="O30" s="11"/>
      <c r="P30" s="11"/>
    </row>
    <row r="31" spans="1:16" x14ac:dyDescent="0.25">
      <c r="A31" s="7" t="s">
        <v>15</v>
      </c>
      <c r="C31" s="1" t="s">
        <v>7</v>
      </c>
      <c r="D31" s="9">
        <v>47</v>
      </c>
      <c r="E31" s="9"/>
      <c r="F31" s="9"/>
      <c r="G31" s="9"/>
      <c r="H31" s="9"/>
      <c r="M31" s="10"/>
      <c r="N31" s="11"/>
      <c r="O31" s="11"/>
      <c r="P31" s="11"/>
    </row>
    <row r="32" spans="1:16" x14ac:dyDescent="0.25">
      <c r="A32" s="7" t="s">
        <v>15</v>
      </c>
      <c r="C32" s="1" t="s">
        <v>3</v>
      </c>
      <c r="D32" s="9">
        <v>80</v>
      </c>
      <c r="E32" s="9"/>
      <c r="F32" s="9"/>
      <c r="G32" s="9">
        <v>116</v>
      </c>
      <c r="H32" s="9"/>
      <c r="I32" s="2">
        <v>27.38</v>
      </c>
      <c r="M32" s="10"/>
      <c r="N32" s="11"/>
      <c r="O32" s="11"/>
      <c r="P32" s="11"/>
    </row>
    <row r="33" spans="1:16" x14ac:dyDescent="0.25">
      <c r="A33" s="7" t="s">
        <v>16</v>
      </c>
      <c r="C33" s="1" t="s">
        <v>4</v>
      </c>
      <c r="D33" s="9">
        <v>5</v>
      </c>
      <c r="E33" s="9"/>
      <c r="F33" s="9"/>
      <c r="G33" s="9"/>
      <c r="H33" s="9"/>
      <c r="M33" s="10"/>
      <c r="N33" s="11"/>
      <c r="O33" s="11"/>
      <c r="P33" s="11"/>
    </row>
    <row r="34" spans="1:16" x14ac:dyDescent="0.25">
      <c r="A34" s="7" t="s">
        <v>16</v>
      </c>
      <c r="C34" s="1" t="s">
        <v>6</v>
      </c>
      <c r="D34" s="9">
        <v>36</v>
      </c>
      <c r="E34" s="9"/>
      <c r="F34" s="9"/>
      <c r="G34" s="9"/>
      <c r="H34" s="9"/>
      <c r="M34" s="10"/>
      <c r="N34" s="11"/>
      <c r="O34" s="11"/>
      <c r="P34" s="11"/>
    </row>
    <row r="35" spans="1:16" x14ac:dyDescent="0.25">
      <c r="A35" s="7" t="s">
        <v>16</v>
      </c>
      <c r="C35" s="1" t="s">
        <v>7</v>
      </c>
      <c r="D35" s="9">
        <v>43</v>
      </c>
      <c r="E35" s="9"/>
      <c r="F35" s="9"/>
      <c r="G35" s="9"/>
      <c r="H35" s="9"/>
      <c r="M35" s="10"/>
      <c r="N35" s="11"/>
      <c r="O35" s="11"/>
      <c r="P35" s="11"/>
    </row>
    <row r="36" spans="1:16" x14ac:dyDescent="0.25">
      <c r="A36" s="7" t="s">
        <v>16</v>
      </c>
      <c r="C36" s="1" t="s">
        <v>3</v>
      </c>
      <c r="D36" s="9">
        <v>79</v>
      </c>
      <c r="E36" s="9"/>
      <c r="F36" s="9"/>
      <c r="G36" s="9">
        <v>73</v>
      </c>
      <c r="H36" s="9"/>
      <c r="I36" s="2">
        <v>12.22</v>
      </c>
      <c r="M36" s="10"/>
      <c r="N36" s="11"/>
      <c r="O36" s="11"/>
      <c r="P36" s="11"/>
    </row>
    <row r="37" spans="1:16" x14ac:dyDescent="0.25">
      <c r="A37" s="7" t="s">
        <v>19</v>
      </c>
      <c r="C37" s="1" t="s">
        <v>4</v>
      </c>
      <c r="D37" s="9">
        <v>7</v>
      </c>
      <c r="E37" s="9"/>
      <c r="F37" s="9"/>
      <c r="G37" s="9"/>
      <c r="H37" s="9"/>
      <c r="M37" s="10"/>
      <c r="N37" s="11"/>
      <c r="O37" s="11"/>
      <c r="P37" s="11"/>
    </row>
    <row r="38" spans="1:16" x14ac:dyDescent="0.25">
      <c r="A38" s="7" t="s">
        <v>20</v>
      </c>
      <c r="C38" s="1" t="s">
        <v>4</v>
      </c>
      <c r="D38" s="9">
        <v>7</v>
      </c>
      <c r="E38" s="9"/>
      <c r="F38" s="9"/>
      <c r="G38" s="9"/>
      <c r="H38" s="9"/>
      <c r="M38" s="10"/>
      <c r="N38" s="11"/>
      <c r="O38" s="11"/>
      <c r="P38" s="11"/>
    </row>
    <row r="39" spans="1:16" x14ac:dyDescent="0.25">
      <c r="A39" s="7" t="s">
        <v>19</v>
      </c>
      <c r="C39" s="1" t="s">
        <v>6</v>
      </c>
      <c r="D39" s="2">
        <v>28</v>
      </c>
      <c r="G39" s="9"/>
      <c r="H39" s="9"/>
      <c r="M39" s="10"/>
      <c r="N39" s="11"/>
      <c r="O39" s="11"/>
      <c r="P39" s="11"/>
    </row>
    <row r="40" spans="1:16" x14ac:dyDescent="0.25">
      <c r="A40" s="7" t="s">
        <v>20</v>
      </c>
      <c r="C40" s="1" t="s">
        <v>6</v>
      </c>
      <c r="D40" s="2">
        <v>28</v>
      </c>
      <c r="G40" s="9"/>
      <c r="H40" s="9"/>
      <c r="M40" s="10"/>
      <c r="N40" s="11"/>
      <c r="O40" s="11"/>
      <c r="P40" s="11"/>
    </row>
    <row r="41" spans="1:16" x14ac:dyDescent="0.25">
      <c r="A41" s="7" t="s">
        <v>19</v>
      </c>
      <c r="C41" s="1" t="s">
        <v>3</v>
      </c>
      <c r="D41" s="2">
        <v>113</v>
      </c>
      <c r="G41" s="9"/>
      <c r="H41" s="9"/>
      <c r="M41" s="10"/>
      <c r="N41" s="11"/>
      <c r="O41" s="11"/>
      <c r="P41" s="11"/>
    </row>
    <row r="42" spans="1:16" x14ac:dyDescent="0.25">
      <c r="A42" s="7" t="s">
        <v>20</v>
      </c>
      <c r="C42" s="1" t="s">
        <v>3</v>
      </c>
      <c r="D42" s="2">
        <v>113</v>
      </c>
      <c r="G42" s="9"/>
      <c r="H42" s="9"/>
      <c r="M42" s="10"/>
      <c r="N42" s="11"/>
      <c r="O42" s="11"/>
      <c r="P42" s="11"/>
    </row>
    <row r="43" spans="1:16" x14ac:dyDescent="0.25">
      <c r="A43" s="7" t="s">
        <v>19</v>
      </c>
      <c r="B43" s="8">
        <v>43223</v>
      </c>
      <c r="G43" s="9"/>
      <c r="H43" s="9"/>
      <c r="I43" s="2">
        <v>176.72</v>
      </c>
      <c r="M43" s="10"/>
      <c r="N43" s="11"/>
      <c r="O43" s="11"/>
      <c r="P43" s="11"/>
    </row>
    <row r="44" spans="1:16" x14ac:dyDescent="0.25">
      <c r="A44" s="7" t="s">
        <v>20</v>
      </c>
      <c r="B44" s="8">
        <v>43223</v>
      </c>
      <c r="G44" s="9"/>
      <c r="H44" s="9"/>
      <c r="I44" s="2">
        <v>176.72</v>
      </c>
      <c r="M44" s="10"/>
      <c r="N44" s="11"/>
      <c r="O44" s="11"/>
      <c r="P44" s="11"/>
    </row>
    <row r="45" spans="1:16" x14ac:dyDescent="0.25">
      <c r="A45" s="7" t="s">
        <v>19</v>
      </c>
      <c r="B45" s="8">
        <v>43138</v>
      </c>
      <c r="G45" s="9"/>
      <c r="H45" s="9"/>
      <c r="L45" s="2">
        <v>505</v>
      </c>
      <c r="M45" s="10"/>
      <c r="N45" s="11"/>
      <c r="O45" s="11"/>
      <c r="P45" s="11"/>
    </row>
    <row r="46" spans="1:16" x14ac:dyDescent="0.25">
      <c r="A46" s="7" t="s">
        <v>20</v>
      </c>
      <c r="B46" s="8">
        <v>43138</v>
      </c>
      <c r="G46" s="9"/>
      <c r="H46" s="9"/>
      <c r="L46" s="2">
        <v>512</v>
      </c>
      <c r="M46" s="10"/>
      <c r="N46" s="11"/>
      <c r="O46" s="11"/>
      <c r="P46" s="11"/>
    </row>
    <row r="47" spans="1:16" x14ac:dyDescent="0.25">
      <c r="A47" s="7" t="s">
        <v>19</v>
      </c>
      <c r="B47" s="8">
        <v>43152</v>
      </c>
      <c r="G47" s="9"/>
      <c r="H47" s="9"/>
      <c r="L47" s="2">
        <v>927</v>
      </c>
      <c r="M47" s="10"/>
      <c r="N47" s="11"/>
      <c r="O47" s="11"/>
      <c r="P47" s="11"/>
    </row>
    <row r="48" spans="1:16" x14ac:dyDescent="0.25">
      <c r="A48" s="7" t="s">
        <v>20</v>
      </c>
      <c r="B48" s="8">
        <v>43152</v>
      </c>
      <c r="G48" s="9"/>
      <c r="H48" s="9"/>
      <c r="L48" s="2">
        <v>987</v>
      </c>
      <c r="M48" s="10"/>
      <c r="N48" s="11"/>
      <c r="O48" s="11"/>
      <c r="P48" s="11"/>
    </row>
    <row r="49" spans="1:16" x14ac:dyDescent="0.25">
      <c r="A49" s="7" t="s">
        <v>19</v>
      </c>
      <c r="B49" s="8">
        <v>43159</v>
      </c>
      <c r="G49" s="9"/>
      <c r="H49" s="9"/>
      <c r="L49" s="2">
        <v>1212</v>
      </c>
      <c r="M49" s="10"/>
      <c r="N49" s="11"/>
      <c r="O49" s="11"/>
      <c r="P49" s="11"/>
    </row>
    <row r="50" spans="1:16" x14ac:dyDescent="0.25">
      <c r="A50" s="7" t="s">
        <v>20</v>
      </c>
      <c r="B50" s="8">
        <v>43159</v>
      </c>
      <c r="G50" s="9"/>
      <c r="H50" s="9"/>
      <c r="L50" s="2">
        <v>1165</v>
      </c>
      <c r="M50" s="10"/>
      <c r="N50" s="11"/>
      <c r="O50" s="11"/>
      <c r="P50" s="11"/>
    </row>
    <row r="51" spans="1:16" x14ac:dyDescent="0.25">
      <c r="A51" s="7" t="s">
        <v>19</v>
      </c>
      <c r="B51" s="8">
        <v>43165</v>
      </c>
      <c r="G51" s="9"/>
      <c r="H51" s="9"/>
      <c r="L51" s="2">
        <v>1300</v>
      </c>
      <c r="M51" s="10"/>
      <c r="N51" s="11"/>
      <c r="O51" s="11"/>
      <c r="P51" s="11"/>
    </row>
    <row r="52" spans="1:16" x14ac:dyDescent="0.25">
      <c r="A52" s="7" t="s">
        <v>20</v>
      </c>
      <c r="B52" s="8">
        <v>43165</v>
      </c>
      <c r="G52" s="9"/>
      <c r="H52" s="9"/>
      <c r="L52" s="2">
        <v>1292</v>
      </c>
      <c r="M52" s="10"/>
      <c r="N52" s="11"/>
      <c r="O52" s="11"/>
      <c r="P52" s="11"/>
    </row>
    <row r="53" spans="1:16" x14ac:dyDescent="0.25">
      <c r="A53" s="7" t="s">
        <v>19</v>
      </c>
      <c r="B53" s="8">
        <v>43203</v>
      </c>
      <c r="G53" s="9"/>
      <c r="H53" s="9"/>
      <c r="L53" s="2">
        <v>1330</v>
      </c>
      <c r="M53" s="10"/>
      <c r="N53" s="11"/>
      <c r="O53" s="11"/>
      <c r="P53" s="11"/>
    </row>
    <row r="54" spans="1:16" x14ac:dyDescent="0.25">
      <c r="A54" s="7" t="s">
        <v>20</v>
      </c>
      <c r="B54" s="8">
        <v>43203</v>
      </c>
      <c r="G54" s="9"/>
      <c r="H54" s="9"/>
      <c r="L54" s="2">
        <v>1272</v>
      </c>
      <c r="M54" s="10"/>
      <c r="N54" s="11"/>
      <c r="O54" s="11"/>
      <c r="P54" s="11"/>
    </row>
    <row r="55" spans="1:16" x14ac:dyDescent="0.25">
      <c r="A55" s="7" t="s">
        <v>19</v>
      </c>
      <c r="B55" s="8">
        <v>43223</v>
      </c>
      <c r="G55" s="9"/>
      <c r="H55" s="9"/>
      <c r="L55" s="2">
        <v>1325</v>
      </c>
      <c r="M55" s="10"/>
      <c r="N55" s="11"/>
      <c r="O55" s="11"/>
      <c r="P55" s="11"/>
    </row>
    <row r="56" spans="1:16" x14ac:dyDescent="0.25">
      <c r="A56" s="7" t="s">
        <v>20</v>
      </c>
      <c r="B56" s="8">
        <v>43223</v>
      </c>
      <c r="G56" s="9"/>
      <c r="H56" s="9"/>
      <c r="L56" s="2">
        <v>1242</v>
      </c>
      <c r="M56" s="10"/>
      <c r="N56" s="11"/>
      <c r="O56" s="11"/>
      <c r="P56" s="11"/>
    </row>
    <row r="57" spans="1:16" x14ac:dyDescent="0.25">
      <c r="A57" s="7" t="s">
        <v>19</v>
      </c>
      <c r="B57" s="8">
        <v>43203</v>
      </c>
      <c r="G57" s="9">
        <f>SUM(N57:P57)</f>
        <v>1536.7</v>
      </c>
      <c r="H57" s="9"/>
      <c r="M57" s="10"/>
      <c r="N57" s="11">
        <v>94.7</v>
      </c>
      <c r="O57" s="11">
        <f>545.1</f>
        <v>545.1</v>
      </c>
      <c r="P57" s="11">
        <f>896.9</f>
        <v>896.9</v>
      </c>
    </row>
    <row r="58" spans="1:16" x14ac:dyDescent="0.25">
      <c r="A58" s="7" t="s">
        <v>20</v>
      </c>
      <c r="B58" s="8">
        <v>43203</v>
      </c>
      <c r="G58" s="9">
        <f>SUM(N58:P58)</f>
        <v>1763.1</v>
      </c>
      <c r="H58" s="9"/>
      <c r="M58" s="10"/>
      <c r="N58" s="11">
        <v>101.9</v>
      </c>
      <c r="O58" s="11">
        <f>599</f>
        <v>599</v>
      </c>
      <c r="P58" s="11">
        <f>1062.2</f>
        <v>1062.2</v>
      </c>
    </row>
    <row r="59" spans="1:16" x14ac:dyDescent="0.25">
      <c r="A59" s="7" t="s">
        <v>19</v>
      </c>
      <c r="B59" s="8">
        <v>43223</v>
      </c>
      <c r="G59" s="9"/>
      <c r="H59" s="9"/>
      <c r="I59" s="2">
        <v>188.75200000000001</v>
      </c>
      <c r="M59" s="10"/>
      <c r="N59" s="11"/>
      <c r="O59" s="11"/>
      <c r="P59" s="11"/>
    </row>
    <row r="60" spans="1:16" x14ac:dyDescent="0.25">
      <c r="A60" s="7" t="s">
        <v>20</v>
      </c>
      <c r="B60" s="8">
        <v>43223</v>
      </c>
      <c r="G60" s="9"/>
      <c r="H60" s="9"/>
      <c r="I60" s="2">
        <v>175.404</v>
      </c>
      <c r="M60" s="10"/>
      <c r="N60" s="11"/>
      <c r="O60" s="11"/>
      <c r="P60" s="11"/>
    </row>
    <row r="61" spans="1:16" x14ac:dyDescent="0.25">
      <c r="A61" s="7" t="s">
        <v>5</v>
      </c>
      <c r="C61" s="1" t="s">
        <v>4</v>
      </c>
      <c r="D61" s="9">
        <v>5</v>
      </c>
      <c r="E61" s="9"/>
      <c r="F61" s="9"/>
      <c r="G61" s="9"/>
      <c r="H61" s="9"/>
      <c r="N61" s="11"/>
      <c r="O61" s="11"/>
      <c r="P61" s="11"/>
    </row>
    <row r="62" spans="1:16" x14ac:dyDescent="0.25">
      <c r="A62" s="7" t="s">
        <v>5</v>
      </c>
      <c r="C62" s="1" t="s">
        <v>6</v>
      </c>
      <c r="D62" s="9">
        <v>40</v>
      </c>
      <c r="E62" s="9"/>
      <c r="F62" s="9"/>
      <c r="G62" s="9"/>
      <c r="H62" s="9"/>
      <c r="N62" s="11"/>
      <c r="O62" s="11"/>
      <c r="P62" s="11"/>
    </row>
    <row r="63" spans="1:16" x14ac:dyDescent="0.25">
      <c r="A63" s="7" t="s">
        <v>5</v>
      </c>
      <c r="C63" s="1" t="s">
        <v>7</v>
      </c>
      <c r="D63" s="9">
        <v>45</v>
      </c>
      <c r="E63" s="9"/>
      <c r="F63" s="9"/>
      <c r="G63" s="9"/>
      <c r="H63" s="9"/>
      <c r="N63" s="11"/>
      <c r="O63" s="11"/>
      <c r="P63" s="11"/>
    </row>
    <row r="64" spans="1:16" x14ac:dyDescent="0.25">
      <c r="A64" s="7" t="s">
        <v>5</v>
      </c>
      <c r="C64" s="1" t="s">
        <v>8</v>
      </c>
      <c r="D64" s="9">
        <v>50</v>
      </c>
      <c r="E64" s="9"/>
      <c r="F64" s="9"/>
      <c r="G64" s="9"/>
      <c r="H64" s="9"/>
      <c r="N64" s="11"/>
      <c r="O64" s="11"/>
      <c r="P64" s="11"/>
    </row>
    <row r="65" spans="1:16" x14ac:dyDescent="0.25">
      <c r="A65" s="7" t="s">
        <v>5</v>
      </c>
      <c r="C65" s="1" t="s">
        <v>9</v>
      </c>
      <c r="D65" s="9">
        <v>65</v>
      </c>
      <c r="E65" s="9"/>
      <c r="F65" s="9"/>
      <c r="G65" s="9"/>
      <c r="H65" s="9"/>
      <c r="N65" s="11"/>
      <c r="O65" s="11"/>
      <c r="P65" s="11"/>
    </row>
    <row r="66" spans="1:16" x14ac:dyDescent="0.25">
      <c r="A66" s="7" t="s">
        <v>5</v>
      </c>
      <c r="C66" s="1" t="s">
        <v>10</v>
      </c>
      <c r="D66" s="9">
        <v>75</v>
      </c>
      <c r="E66" s="9"/>
      <c r="F66" s="9"/>
      <c r="G66" s="9"/>
      <c r="H66" s="9"/>
      <c r="N66" s="11"/>
      <c r="O66" s="11"/>
      <c r="P66" s="11"/>
    </row>
    <row r="67" spans="1:16" x14ac:dyDescent="0.25">
      <c r="A67" s="7" t="s">
        <v>5</v>
      </c>
      <c r="C67" s="1" t="s">
        <v>11</v>
      </c>
      <c r="D67" s="9">
        <v>93</v>
      </c>
      <c r="E67" s="9"/>
      <c r="F67" s="9"/>
      <c r="G67" s="9"/>
      <c r="H67" s="9"/>
      <c r="N67" s="11"/>
      <c r="O67" s="11"/>
      <c r="P67" s="11"/>
    </row>
    <row r="68" spans="1:16" x14ac:dyDescent="0.25">
      <c r="A68" s="7" t="s">
        <v>5</v>
      </c>
      <c r="C68" s="1" t="s">
        <v>3</v>
      </c>
      <c r="D68" s="9">
        <v>97</v>
      </c>
      <c r="E68" s="9"/>
      <c r="F68" s="9"/>
      <c r="G68" s="9"/>
      <c r="H68" s="9"/>
      <c r="N68" s="11"/>
      <c r="O68" s="11"/>
      <c r="P68" s="11"/>
    </row>
    <row r="69" spans="1:16" x14ac:dyDescent="0.25">
      <c r="A69" s="7" t="s">
        <v>5</v>
      </c>
      <c r="C69" s="1" t="s">
        <v>12</v>
      </c>
      <c r="D69" s="9">
        <v>108</v>
      </c>
      <c r="E69" s="9"/>
      <c r="F69" s="9"/>
      <c r="G69" s="9"/>
      <c r="H69" s="9"/>
      <c r="N69" s="11"/>
      <c r="O69" s="11"/>
      <c r="P69" s="11"/>
    </row>
    <row r="70" spans="1:16" s="5" customFormat="1" x14ac:dyDescent="0.25">
      <c r="A70" s="5" t="s">
        <v>22</v>
      </c>
      <c r="B70" s="12">
        <v>45553</v>
      </c>
      <c r="C70" s="5" t="s">
        <v>21</v>
      </c>
      <c r="D70" s="5">
        <v>208</v>
      </c>
      <c r="E70" s="5">
        <v>11</v>
      </c>
      <c r="F70" s="5">
        <v>5</v>
      </c>
      <c r="G70" s="5">
        <v>408.5</v>
      </c>
      <c r="H70" s="5">
        <v>113</v>
      </c>
      <c r="I70" s="5">
        <v>33.1</v>
      </c>
      <c r="J70" s="5">
        <v>13.1</v>
      </c>
      <c r="K70" s="5">
        <v>3.1</v>
      </c>
      <c r="L70" s="5">
        <v>92.3</v>
      </c>
    </row>
    <row r="71" spans="1:16" x14ac:dyDescent="0.25">
      <c r="A71" s="2" t="s">
        <v>34</v>
      </c>
      <c r="B71" s="8">
        <v>45553</v>
      </c>
      <c r="C71" s="2" t="s">
        <v>21</v>
      </c>
      <c r="D71" s="2">
        <v>208</v>
      </c>
      <c r="E71" s="2">
        <v>12.8</v>
      </c>
      <c r="F71" s="2">
        <v>7.5</v>
      </c>
      <c r="G71" s="2">
        <v>455.6</v>
      </c>
      <c r="H71" s="2">
        <v>166</v>
      </c>
      <c r="I71" s="2">
        <v>48.2</v>
      </c>
      <c r="J71" s="2">
        <v>20.8</v>
      </c>
      <c r="K71" s="2">
        <v>2.9</v>
      </c>
      <c r="L71" s="2">
        <v>88</v>
      </c>
    </row>
    <row r="72" spans="1:16" x14ac:dyDescent="0.25">
      <c r="A72" s="2" t="s">
        <v>24</v>
      </c>
      <c r="B72" s="8">
        <v>45440</v>
      </c>
      <c r="C72" s="2" t="s">
        <v>21</v>
      </c>
      <c r="D72" s="2">
        <v>110</v>
      </c>
      <c r="E72" s="2">
        <v>10.3</v>
      </c>
      <c r="F72" s="2">
        <v>3.5</v>
      </c>
      <c r="G72" s="2">
        <v>328</v>
      </c>
      <c r="H72" s="2">
        <v>33.5</v>
      </c>
      <c r="I72" s="2">
        <v>49.9</v>
      </c>
      <c r="J72" s="2">
        <v>17.600000000000001</v>
      </c>
      <c r="K72" s="2">
        <v>3.2</v>
      </c>
      <c r="L72" s="2">
        <v>97.6</v>
      </c>
    </row>
    <row r="73" spans="1:16" x14ac:dyDescent="0.25">
      <c r="A73" s="2" t="s">
        <v>26</v>
      </c>
      <c r="B73" s="8">
        <v>45440</v>
      </c>
      <c r="C73" s="2" t="s">
        <v>21</v>
      </c>
      <c r="D73" s="2">
        <v>110</v>
      </c>
      <c r="E73" s="2">
        <v>13</v>
      </c>
      <c r="F73" s="2">
        <v>2</v>
      </c>
      <c r="G73" s="2">
        <v>255</v>
      </c>
      <c r="H73" s="2">
        <v>1</v>
      </c>
      <c r="I73" s="2">
        <v>43.3</v>
      </c>
      <c r="J73" s="2">
        <v>1.8</v>
      </c>
      <c r="K73" s="2">
        <v>3</v>
      </c>
      <c r="L73" s="2">
        <v>78.400000000000006</v>
      </c>
    </row>
    <row r="74" spans="1:16" x14ac:dyDescent="0.25">
      <c r="A74" s="2" t="s">
        <v>36</v>
      </c>
      <c r="B74" s="8">
        <v>45440</v>
      </c>
      <c r="C74" s="2" t="s">
        <v>21</v>
      </c>
      <c r="D74" s="2">
        <v>110</v>
      </c>
      <c r="E74" s="2">
        <v>14.4</v>
      </c>
      <c r="F74" s="2">
        <v>2.5</v>
      </c>
      <c r="G74" s="2">
        <v>337</v>
      </c>
      <c r="H74" s="2">
        <v>21.5</v>
      </c>
      <c r="I74" s="2">
        <v>76.7</v>
      </c>
      <c r="J74" s="2">
        <v>16.100000000000001</v>
      </c>
      <c r="K74" s="2">
        <v>3.5</v>
      </c>
      <c r="L74" s="2">
        <v>98.7</v>
      </c>
    </row>
    <row r="75" spans="1:16" x14ac:dyDescent="0.25">
      <c r="A75" s="2" t="s">
        <v>38</v>
      </c>
      <c r="B75" s="8">
        <v>45440</v>
      </c>
      <c r="C75" s="2" t="s">
        <v>21</v>
      </c>
      <c r="D75" s="2">
        <v>110</v>
      </c>
      <c r="E75" s="2">
        <v>12.8</v>
      </c>
      <c r="F75" s="2">
        <v>0.75</v>
      </c>
      <c r="G75" s="2">
        <v>196</v>
      </c>
      <c r="H75" s="2">
        <v>52</v>
      </c>
      <c r="I75" s="2">
        <v>47.9</v>
      </c>
      <c r="J75" s="2">
        <v>16.8</v>
      </c>
      <c r="K75" s="2">
        <v>4.5999999999999996</v>
      </c>
      <c r="L75" s="2">
        <v>65.2</v>
      </c>
    </row>
    <row r="76" spans="1:16" x14ac:dyDescent="0.25">
      <c r="A76" s="2" t="s">
        <v>23</v>
      </c>
      <c r="B76" s="8">
        <v>45399</v>
      </c>
      <c r="C76" s="2" t="s">
        <v>21</v>
      </c>
      <c r="D76" s="2">
        <v>100</v>
      </c>
      <c r="E76" s="2">
        <v>5.2</v>
      </c>
      <c r="F76" s="2">
        <v>2.25</v>
      </c>
      <c r="G76" s="2">
        <v>396.7</v>
      </c>
      <c r="H76" s="2">
        <v>93</v>
      </c>
      <c r="I76" s="2">
        <v>77.400000000000006</v>
      </c>
      <c r="J76" s="2">
        <v>13.5</v>
      </c>
      <c r="K76" s="2">
        <v>4.3</v>
      </c>
      <c r="L76" s="2">
        <v>122.2</v>
      </c>
    </row>
    <row r="77" spans="1:16" x14ac:dyDescent="0.25">
      <c r="A77" s="2" t="s">
        <v>25</v>
      </c>
      <c r="C77" s="2" t="s">
        <v>21</v>
      </c>
      <c r="F77" s="2">
        <v>0</v>
      </c>
      <c r="H77" s="2">
        <v>0</v>
      </c>
      <c r="J77" s="2">
        <v>0</v>
      </c>
    </row>
    <row r="78" spans="1:16" x14ac:dyDescent="0.25">
      <c r="A78" s="2" t="s">
        <v>35</v>
      </c>
      <c r="B78" s="8">
        <v>45399</v>
      </c>
      <c r="C78" s="2" t="s">
        <v>21</v>
      </c>
      <c r="D78" s="2">
        <v>100</v>
      </c>
      <c r="E78" s="2">
        <v>4.8</v>
      </c>
      <c r="F78" s="2">
        <v>2</v>
      </c>
      <c r="G78" s="2">
        <v>319.7</v>
      </c>
      <c r="H78" s="2">
        <v>46.5</v>
      </c>
      <c r="I78" s="2">
        <v>75.5</v>
      </c>
      <c r="J78" s="2">
        <v>9.4</v>
      </c>
      <c r="K78" s="2">
        <v>4.2</v>
      </c>
      <c r="L78" s="2">
        <v>102.9</v>
      </c>
    </row>
    <row r="79" spans="1:16" x14ac:dyDescent="0.25">
      <c r="A79" s="2" t="s">
        <v>37</v>
      </c>
      <c r="B79" s="8">
        <v>45399</v>
      </c>
      <c r="C79" s="2" t="s">
        <v>21</v>
      </c>
      <c r="D79" s="2">
        <v>100</v>
      </c>
      <c r="E79" s="2">
        <v>3</v>
      </c>
      <c r="F79" s="2">
        <v>0</v>
      </c>
      <c r="G79" s="2">
        <v>288</v>
      </c>
      <c r="H79" s="2">
        <v>0</v>
      </c>
      <c r="I79" s="2">
        <v>49.3</v>
      </c>
      <c r="J79" s="2">
        <v>0</v>
      </c>
      <c r="K79" s="2">
        <v>5</v>
      </c>
      <c r="L79" s="2">
        <v>82.6</v>
      </c>
    </row>
    <row r="80" spans="1:16" x14ac:dyDescent="0.25">
      <c r="A80" s="2" t="s">
        <v>32</v>
      </c>
      <c r="B80" s="8">
        <v>45119</v>
      </c>
      <c r="C80" s="2" t="s">
        <v>21</v>
      </c>
      <c r="D80" s="2">
        <v>147</v>
      </c>
      <c r="E80" s="2">
        <v>21.7</v>
      </c>
      <c r="F80" s="2">
        <v>9.3000000000000007</v>
      </c>
      <c r="G80" s="2">
        <v>211</v>
      </c>
      <c r="H80" s="2">
        <v>75</v>
      </c>
      <c r="I80" s="2">
        <v>45.8</v>
      </c>
      <c r="J80" s="2">
        <v>15.3</v>
      </c>
      <c r="K80" s="2">
        <v>3.6</v>
      </c>
      <c r="L80" s="2">
        <v>54</v>
      </c>
    </row>
    <row r="81" spans="1:12" x14ac:dyDescent="0.25">
      <c r="A81" s="2" t="s">
        <v>39</v>
      </c>
      <c r="B81" s="8">
        <v>45091</v>
      </c>
      <c r="C81" s="2" t="s">
        <v>21</v>
      </c>
      <c r="D81" s="2">
        <v>119</v>
      </c>
      <c r="E81" s="2">
        <v>24.1</v>
      </c>
      <c r="F81" s="2">
        <v>11.7</v>
      </c>
      <c r="G81" s="2">
        <v>267</v>
      </c>
      <c r="H81" s="2">
        <v>191</v>
      </c>
      <c r="I81" s="2">
        <v>63.6</v>
      </c>
      <c r="J81" s="2">
        <v>30.9</v>
      </c>
      <c r="K81" s="2">
        <v>3.2</v>
      </c>
      <c r="L81" s="2">
        <v>58.6</v>
      </c>
    </row>
    <row r="82" spans="1:12" x14ac:dyDescent="0.25">
      <c r="A82" s="2" t="s">
        <v>33</v>
      </c>
      <c r="B82" s="8">
        <v>45264</v>
      </c>
      <c r="C82" s="2" t="s">
        <v>21</v>
      </c>
      <c r="D82" s="2">
        <v>171</v>
      </c>
      <c r="E82" s="2">
        <v>10.8</v>
      </c>
      <c r="F82" s="2">
        <v>4.5</v>
      </c>
      <c r="G82" s="2">
        <v>435</v>
      </c>
      <c r="H82" s="2">
        <v>135</v>
      </c>
      <c r="I82" s="2">
        <v>67.099999999999994</v>
      </c>
      <c r="J82" s="2">
        <v>31.4</v>
      </c>
      <c r="K82" s="2">
        <v>6</v>
      </c>
      <c r="L82" s="2">
        <v>98</v>
      </c>
    </row>
    <row r="83" spans="1:12" x14ac:dyDescent="0.25">
      <c r="A83" s="2" t="s">
        <v>40</v>
      </c>
      <c r="B83" s="8">
        <v>45264</v>
      </c>
      <c r="C83" s="2" t="s">
        <v>21</v>
      </c>
      <c r="D83" s="2">
        <v>171</v>
      </c>
      <c r="E83" s="2">
        <v>10.4</v>
      </c>
      <c r="F83" s="2">
        <v>4.5</v>
      </c>
      <c r="G83" s="2">
        <v>427.5</v>
      </c>
      <c r="H83" s="2">
        <v>120</v>
      </c>
      <c r="I83" s="2">
        <v>57.9</v>
      </c>
      <c r="J83" s="2">
        <v>31.6</v>
      </c>
      <c r="K83" s="2">
        <v>5.9</v>
      </c>
      <c r="L83" s="2">
        <v>99.1</v>
      </c>
    </row>
    <row r="84" spans="1:12" x14ac:dyDescent="0.25">
      <c r="A84" s="2" t="s">
        <v>42</v>
      </c>
      <c r="B84" s="8">
        <v>45526</v>
      </c>
      <c r="C84" s="2" t="s">
        <v>21</v>
      </c>
      <c r="D84" s="2">
        <v>177</v>
      </c>
      <c r="E84" s="2">
        <v>8.6999999999999993</v>
      </c>
      <c r="F84" s="2">
        <v>3.85</v>
      </c>
      <c r="G84" s="2">
        <v>506.5</v>
      </c>
      <c r="H84" s="2">
        <v>247.5</v>
      </c>
      <c r="I84" s="2">
        <v>37.799999999999997</v>
      </c>
      <c r="J84" s="2">
        <v>7.8</v>
      </c>
      <c r="K84" s="2">
        <v>3.4</v>
      </c>
      <c r="L84" s="2">
        <v>811.1</v>
      </c>
    </row>
    <row r="85" spans="1:12" x14ac:dyDescent="0.25">
      <c r="A85" s="2" t="s">
        <v>41</v>
      </c>
      <c r="B85" s="8">
        <v>45526</v>
      </c>
      <c r="C85" s="2" t="s">
        <v>21</v>
      </c>
      <c r="D85" s="2">
        <v>177</v>
      </c>
      <c r="E85" s="2">
        <v>9.1999999999999993</v>
      </c>
      <c r="F85" s="2">
        <v>7.15</v>
      </c>
      <c r="G85" s="2">
        <v>270.39999999999998</v>
      </c>
      <c r="H85" s="2">
        <v>220</v>
      </c>
      <c r="I85" s="2">
        <v>46.7</v>
      </c>
      <c r="J85" s="2">
        <v>25.8</v>
      </c>
      <c r="K85" s="2">
        <v>3.3</v>
      </c>
      <c r="L85" s="2">
        <v>890</v>
      </c>
    </row>
    <row r="86" spans="1:12" x14ac:dyDescent="0.25">
      <c r="A86" s="2" t="s">
        <v>44</v>
      </c>
      <c r="B86" s="8">
        <v>45601</v>
      </c>
      <c r="C86" s="2" t="s">
        <v>21</v>
      </c>
      <c r="D86" s="2">
        <v>181</v>
      </c>
      <c r="E86" s="2">
        <v>5.6</v>
      </c>
      <c r="F86" s="2">
        <v>2.4700000000000002</v>
      </c>
      <c r="G86" s="2">
        <v>192.5</v>
      </c>
      <c r="H86" s="2">
        <v>55</v>
      </c>
      <c r="I86" s="2">
        <v>17</v>
      </c>
      <c r="J86" s="2">
        <v>8.1999999999999993</v>
      </c>
      <c r="K86" s="2">
        <v>3.3</v>
      </c>
      <c r="L86" s="2">
        <v>828.8</v>
      </c>
    </row>
    <row r="87" spans="1:12" x14ac:dyDescent="0.25">
      <c r="A87" s="2" t="s">
        <v>43</v>
      </c>
      <c r="B87" s="8">
        <v>45601</v>
      </c>
      <c r="C87" s="2" t="s">
        <v>21</v>
      </c>
      <c r="D87" s="2">
        <v>181</v>
      </c>
      <c r="E87" s="2">
        <v>12.3</v>
      </c>
      <c r="F87" s="2">
        <v>8.8000000000000007</v>
      </c>
      <c r="G87" s="2">
        <v>216.6</v>
      </c>
      <c r="H87" s="2">
        <v>55</v>
      </c>
      <c r="I87" s="2">
        <v>29.1</v>
      </c>
      <c r="J87" s="2">
        <v>9</v>
      </c>
      <c r="K87" s="2">
        <v>3.3</v>
      </c>
      <c r="L87" s="2">
        <v>812</v>
      </c>
    </row>
    <row r="88" spans="1:12" x14ac:dyDescent="0.25">
      <c r="A88" s="2" t="s">
        <v>45</v>
      </c>
      <c r="B88" s="8">
        <v>45582</v>
      </c>
      <c r="C88" s="2" t="s">
        <v>21</v>
      </c>
      <c r="D88" s="2">
        <v>162</v>
      </c>
      <c r="E88" s="2">
        <v>12.7</v>
      </c>
      <c r="F88" s="2">
        <v>5.22</v>
      </c>
      <c r="G88" s="2">
        <v>276.8</v>
      </c>
      <c r="H88" s="2">
        <v>140.6</v>
      </c>
      <c r="I88" s="2">
        <v>19.7</v>
      </c>
      <c r="J88" s="2">
        <v>6.1</v>
      </c>
      <c r="K88" s="2">
        <v>1.7</v>
      </c>
      <c r="L88" s="2">
        <v>795.6</v>
      </c>
    </row>
    <row r="89" spans="1:12" x14ac:dyDescent="0.25">
      <c r="A89" s="2" t="s">
        <v>47</v>
      </c>
      <c r="B89" s="8">
        <v>45231</v>
      </c>
      <c r="C89" s="2" t="s">
        <v>21</v>
      </c>
      <c r="D89" s="2">
        <v>167</v>
      </c>
      <c r="E89" s="2">
        <v>10.199999999999999</v>
      </c>
      <c r="F89" s="2">
        <v>5.42</v>
      </c>
      <c r="G89" s="2">
        <v>559.1</v>
      </c>
      <c r="H89" s="2">
        <v>37.6</v>
      </c>
      <c r="I89" s="2">
        <v>97.6</v>
      </c>
      <c r="J89" s="2">
        <v>18</v>
      </c>
      <c r="K89" s="2">
        <v>4.3</v>
      </c>
      <c r="L89" s="2">
        <v>121.6</v>
      </c>
    </row>
    <row r="90" spans="1:12" x14ac:dyDescent="0.25">
      <c r="A90" s="2" t="s">
        <v>46</v>
      </c>
      <c r="B90" s="8">
        <v>45217</v>
      </c>
      <c r="C90" s="2" t="s">
        <v>21</v>
      </c>
      <c r="D90" s="2">
        <v>153</v>
      </c>
      <c r="E90" s="2">
        <v>5.0999999999999996</v>
      </c>
      <c r="F90" s="2">
        <v>3.06</v>
      </c>
      <c r="G90" s="2">
        <v>553.6</v>
      </c>
      <c r="H90" s="2">
        <v>122</v>
      </c>
      <c r="I90" s="2">
        <v>71</v>
      </c>
      <c r="J90" s="2">
        <v>26</v>
      </c>
      <c r="K90" s="2">
        <v>7.3</v>
      </c>
      <c r="L90" s="2">
        <v>116.1</v>
      </c>
    </row>
    <row r="91" spans="1:12" x14ac:dyDescent="0.25">
      <c r="A91" s="2" t="s">
        <v>57</v>
      </c>
      <c r="B91" s="8">
        <v>45726</v>
      </c>
      <c r="C91" s="2" t="s">
        <v>21</v>
      </c>
      <c r="D91" s="2">
        <v>88</v>
      </c>
      <c r="E91" s="2">
        <v>16.7</v>
      </c>
      <c r="F91" s="2">
        <v>0</v>
      </c>
      <c r="G91" s="2">
        <v>394.4</v>
      </c>
      <c r="H91" s="2">
        <v>0</v>
      </c>
      <c r="I91" s="2">
        <v>54.8</v>
      </c>
      <c r="J91" s="2">
        <v>0</v>
      </c>
      <c r="K91" s="2">
        <v>2.6</v>
      </c>
      <c r="L91" s="2">
        <v>122</v>
      </c>
    </row>
    <row r="92" spans="1:12" x14ac:dyDescent="0.25">
      <c r="A92" s="2" t="s">
        <v>59</v>
      </c>
      <c r="B92" s="8">
        <v>45723</v>
      </c>
      <c r="C92" s="2" t="s">
        <v>21</v>
      </c>
      <c r="D92" s="2">
        <v>85</v>
      </c>
      <c r="E92" s="2">
        <v>26.7</v>
      </c>
      <c r="F92" s="2">
        <v>5</v>
      </c>
      <c r="G92" s="2">
        <v>654.4</v>
      </c>
      <c r="H92" s="2">
        <v>113.9</v>
      </c>
      <c r="I92" s="2">
        <v>75.8</v>
      </c>
      <c r="J92" s="2">
        <v>32.799999999999997</v>
      </c>
      <c r="K92" s="2">
        <v>3.1</v>
      </c>
      <c r="L92" s="2">
        <v>127.3</v>
      </c>
    </row>
    <row r="93" spans="1:12" x14ac:dyDescent="0.25">
      <c r="A93" s="2" t="s">
        <v>61</v>
      </c>
      <c r="B93" s="8">
        <v>45723</v>
      </c>
      <c r="C93" s="2" t="s">
        <v>21</v>
      </c>
      <c r="D93" s="2">
        <v>85</v>
      </c>
      <c r="E93" s="2">
        <v>18.600000000000001</v>
      </c>
      <c r="F93" s="2">
        <v>4.4400000000000004</v>
      </c>
      <c r="G93" s="2">
        <v>576.4</v>
      </c>
      <c r="H93" s="2">
        <v>105.6</v>
      </c>
      <c r="I93" s="2">
        <v>48.6</v>
      </c>
      <c r="J93" s="2">
        <v>14.3</v>
      </c>
      <c r="K93" s="2">
        <v>3.3</v>
      </c>
      <c r="L93" s="2">
        <v>119.2</v>
      </c>
    </row>
    <row r="94" spans="1:12" x14ac:dyDescent="0.25">
      <c r="A94" s="2" t="s">
        <v>62</v>
      </c>
      <c r="B94" s="8">
        <v>45723</v>
      </c>
      <c r="C94" s="2" t="s">
        <v>21</v>
      </c>
      <c r="D94" s="2">
        <v>85</v>
      </c>
      <c r="E94" s="2">
        <v>17.3</v>
      </c>
      <c r="F94" s="2">
        <v>3.33</v>
      </c>
      <c r="G94" s="2">
        <v>661.1</v>
      </c>
      <c r="H94" s="2">
        <v>58.3</v>
      </c>
      <c r="I94" s="2">
        <v>90.8</v>
      </c>
      <c r="J94" s="2">
        <v>28.4</v>
      </c>
      <c r="K94" s="2">
        <v>4.2</v>
      </c>
      <c r="L94" s="2">
        <v>123.2</v>
      </c>
    </row>
    <row r="95" spans="1:12" x14ac:dyDescent="0.25">
      <c r="A95" s="2" t="s">
        <v>60</v>
      </c>
      <c r="B95" s="8">
        <v>45723</v>
      </c>
      <c r="C95" s="2" t="s">
        <v>21</v>
      </c>
      <c r="D95" s="2">
        <v>85</v>
      </c>
      <c r="E95" s="2">
        <v>20.8</v>
      </c>
      <c r="F95" s="2">
        <v>13.89</v>
      </c>
      <c r="G95" s="2">
        <v>677.8</v>
      </c>
      <c r="H95" s="2">
        <v>127.8</v>
      </c>
      <c r="I95" s="2">
        <v>85.4</v>
      </c>
      <c r="J95" s="2">
        <v>30.7</v>
      </c>
      <c r="K95" s="2">
        <v>3.7</v>
      </c>
      <c r="L95" s="2">
        <v>118.1</v>
      </c>
    </row>
    <row r="96" spans="1:12" x14ac:dyDescent="0.25">
      <c r="A96" s="2" t="s">
        <v>58</v>
      </c>
      <c r="B96" s="8">
        <v>45644</v>
      </c>
      <c r="C96" s="2" t="s">
        <v>21</v>
      </c>
      <c r="D96" s="2">
        <v>77</v>
      </c>
      <c r="E96" s="2">
        <v>10.6</v>
      </c>
      <c r="F96" s="2">
        <v>3.33</v>
      </c>
      <c r="G96" s="2">
        <v>400.3</v>
      </c>
      <c r="H96" s="2">
        <v>95.8</v>
      </c>
      <c r="I96" s="2">
        <v>109.9</v>
      </c>
      <c r="J96" s="2">
        <v>31.2</v>
      </c>
      <c r="K96" s="2">
        <v>1.5</v>
      </c>
      <c r="L96" s="2">
        <v>99.6</v>
      </c>
    </row>
    <row r="97" spans="1:12" x14ac:dyDescent="0.25">
      <c r="A97" s="2" t="s">
        <v>63</v>
      </c>
      <c r="B97" s="8">
        <v>45666</v>
      </c>
      <c r="C97" s="2" t="s">
        <v>21</v>
      </c>
      <c r="D97" s="2">
        <v>99</v>
      </c>
      <c r="E97" s="2">
        <v>14.1</v>
      </c>
      <c r="F97" s="2">
        <v>2.36</v>
      </c>
      <c r="G97" s="2">
        <v>626.4</v>
      </c>
      <c r="H97" s="2">
        <v>173.6</v>
      </c>
      <c r="I97" s="2">
        <v>102.2</v>
      </c>
      <c r="J97" s="2">
        <v>58.3</v>
      </c>
      <c r="K97" s="2">
        <v>3.8</v>
      </c>
      <c r="L97" s="2">
        <v>116.4</v>
      </c>
    </row>
    <row r="98" spans="1:12" x14ac:dyDescent="0.25">
      <c r="A98" s="2" t="s">
        <v>31</v>
      </c>
      <c r="C98" s="2" t="s">
        <v>21</v>
      </c>
      <c r="F98" s="2">
        <v>0</v>
      </c>
      <c r="H98" s="2">
        <v>0</v>
      </c>
      <c r="J98" s="2">
        <v>0</v>
      </c>
    </row>
    <row r="99" spans="1:12" x14ac:dyDescent="0.25">
      <c r="A99" s="2" t="s">
        <v>48</v>
      </c>
      <c r="C99" s="2" t="s">
        <v>21</v>
      </c>
      <c r="F99" s="2">
        <v>0</v>
      </c>
      <c r="H99" s="2">
        <v>0</v>
      </c>
      <c r="J99" s="2">
        <v>0</v>
      </c>
    </row>
    <row r="100" spans="1:12" x14ac:dyDescent="0.25">
      <c r="A100" s="2" t="s">
        <v>27</v>
      </c>
      <c r="B100" s="8">
        <v>45295</v>
      </c>
      <c r="C100" s="2" t="s">
        <v>21</v>
      </c>
      <c r="D100" s="2">
        <v>189</v>
      </c>
      <c r="E100" s="2">
        <v>8.6</v>
      </c>
      <c r="F100" s="2">
        <v>2.89</v>
      </c>
      <c r="G100" s="2">
        <v>319.3</v>
      </c>
      <c r="H100" s="2">
        <v>60.5</v>
      </c>
      <c r="I100" s="2">
        <v>57.8</v>
      </c>
      <c r="J100" s="2">
        <v>3</v>
      </c>
      <c r="K100" s="2">
        <v>5.3</v>
      </c>
      <c r="L100" s="2">
        <v>99.8</v>
      </c>
    </row>
    <row r="101" spans="1:12" x14ac:dyDescent="0.25">
      <c r="A101" s="2" t="s">
        <v>28</v>
      </c>
      <c r="B101" s="8">
        <v>45295</v>
      </c>
      <c r="C101" s="2" t="s">
        <v>21</v>
      </c>
      <c r="D101" s="2">
        <v>189</v>
      </c>
      <c r="E101" s="2">
        <v>8.6999999999999993</v>
      </c>
      <c r="F101" s="2">
        <v>0.79</v>
      </c>
      <c r="G101" s="2">
        <v>254.2</v>
      </c>
      <c r="H101" s="2">
        <v>37.4</v>
      </c>
      <c r="I101" s="2">
        <v>43.4</v>
      </c>
      <c r="J101" s="2">
        <v>3.8</v>
      </c>
      <c r="K101" s="9">
        <v>3.5</v>
      </c>
      <c r="L101" s="2">
        <v>90.4</v>
      </c>
    </row>
    <row r="102" spans="1:12" x14ac:dyDescent="0.25">
      <c r="A102" s="2" t="s">
        <v>29</v>
      </c>
      <c r="B102" s="8">
        <v>45295</v>
      </c>
      <c r="C102" s="2" t="s">
        <v>21</v>
      </c>
      <c r="D102" s="2">
        <v>189</v>
      </c>
      <c r="E102" s="2">
        <v>10.8</v>
      </c>
      <c r="F102" s="2">
        <v>0.26</v>
      </c>
      <c r="G102" s="2">
        <v>313.7</v>
      </c>
      <c r="H102" s="2">
        <v>18.899999999999999</v>
      </c>
      <c r="I102" s="2">
        <v>54.5</v>
      </c>
      <c r="J102" s="2">
        <v>10.1</v>
      </c>
      <c r="K102" s="9">
        <v>4</v>
      </c>
      <c r="L102" s="2">
        <v>79.8</v>
      </c>
    </row>
    <row r="103" spans="1:12" x14ac:dyDescent="0.25">
      <c r="A103" s="2" t="s">
        <v>30</v>
      </c>
      <c r="B103" s="8">
        <v>45295</v>
      </c>
      <c r="C103" s="2" t="s">
        <v>21</v>
      </c>
      <c r="D103" s="2">
        <v>189</v>
      </c>
      <c r="E103" s="2">
        <v>8.6999999999999993</v>
      </c>
      <c r="F103" s="2">
        <v>2.89</v>
      </c>
      <c r="G103" s="2">
        <v>456.3</v>
      </c>
      <c r="H103" s="2">
        <v>173.7</v>
      </c>
      <c r="I103" s="2">
        <v>81.900000000000006</v>
      </c>
      <c r="J103" s="2">
        <v>32.4</v>
      </c>
      <c r="K103" s="9">
        <v>4</v>
      </c>
      <c r="L103" s="2">
        <v>101.6</v>
      </c>
    </row>
    <row r="104" spans="1:12" x14ac:dyDescent="0.25">
      <c r="A104" s="2" t="s">
        <v>52</v>
      </c>
      <c r="B104" s="8">
        <v>45272</v>
      </c>
      <c r="C104" s="2" t="s">
        <v>21</v>
      </c>
      <c r="D104" s="2">
        <v>166</v>
      </c>
      <c r="E104" s="2">
        <v>14.6</v>
      </c>
      <c r="F104" s="2">
        <v>10.79</v>
      </c>
      <c r="G104" s="2">
        <v>193.2</v>
      </c>
      <c r="H104" s="2">
        <v>94.7</v>
      </c>
      <c r="I104" s="2">
        <v>45.4</v>
      </c>
      <c r="J104" s="2">
        <v>23</v>
      </c>
      <c r="K104" s="9">
        <v>4.0999999999999996</v>
      </c>
      <c r="L104" s="2">
        <v>70.7</v>
      </c>
    </row>
    <row r="105" spans="1:12" x14ac:dyDescent="0.25">
      <c r="A105" s="2" t="s">
        <v>49</v>
      </c>
      <c r="B105" s="8">
        <v>45272</v>
      </c>
      <c r="C105" s="2" t="s">
        <v>21</v>
      </c>
      <c r="D105" s="2">
        <v>166</v>
      </c>
      <c r="E105" s="2">
        <v>16.2</v>
      </c>
      <c r="F105" s="2">
        <v>16.579999999999998</v>
      </c>
      <c r="G105" s="2">
        <v>265.5</v>
      </c>
      <c r="H105" s="2">
        <v>116.8</v>
      </c>
      <c r="I105" s="2">
        <v>50.2</v>
      </c>
      <c r="J105" s="2">
        <v>23.1</v>
      </c>
      <c r="K105" s="9">
        <v>4.7</v>
      </c>
      <c r="L105" s="2">
        <v>79.599999999999994</v>
      </c>
    </row>
    <row r="106" spans="1:12" x14ac:dyDescent="0.25">
      <c r="A106" s="2" t="s">
        <v>50</v>
      </c>
      <c r="B106" s="8">
        <v>45272</v>
      </c>
      <c r="C106" s="2" t="s">
        <v>21</v>
      </c>
      <c r="D106" s="2">
        <v>166</v>
      </c>
      <c r="E106" s="2">
        <v>8.1999999999999993</v>
      </c>
      <c r="F106" s="2">
        <v>4.21</v>
      </c>
      <c r="G106" s="2">
        <v>421.8</v>
      </c>
      <c r="H106" s="2">
        <v>68.900000000000006</v>
      </c>
      <c r="I106" s="2">
        <v>115.5</v>
      </c>
      <c r="J106" s="2">
        <v>29.2</v>
      </c>
      <c r="K106" s="9">
        <v>5.5</v>
      </c>
      <c r="L106" s="2">
        <v>99.9</v>
      </c>
    </row>
    <row r="107" spans="1:12" x14ac:dyDescent="0.25">
      <c r="A107" s="2" t="s">
        <v>51</v>
      </c>
      <c r="B107" s="8">
        <v>45272</v>
      </c>
      <c r="C107" s="2" t="s">
        <v>21</v>
      </c>
      <c r="D107" s="2">
        <v>166</v>
      </c>
      <c r="E107" s="2">
        <v>11.2</v>
      </c>
      <c r="F107" s="2">
        <v>7.11</v>
      </c>
      <c r="G107" s="2">
        <v>309.5</v>
      </c>
      <c r="H107" s="2">
        <v>112.1</v>
      </c>
      <c r="I107" s="2">
        <v>60.2</v>
      </c>
      <c r="J107" s="2">
        <v>31.4</v>
      </c>
      <c r="K107" s="9">
        <v>4.4000000000000004</v>
      </c>
      <c r="L107" s="2">
        <v>90.1</v>
      </c>
    </row>
    <row r="108" spans="1:12" x14ac:dyDescent="0.25">
      <c r="A108" s="2" t="s">
        <v>53</v>
      </c>
      <c r="B108" s="8">
        <v>45659</v>
      </c>
      <c r="C108" s="2" t="s">
        <v>21</v>
      </c>
      <c r="D108" s="2">
        <v>110</v>
      </c>
      <c r="E108" s="2">
        <v>26.7</v>
      </c>
      <c r="F108" s="2">
        <v>10.26</v>
      </c>
      <c r="G108" s="2">
        <v>217.5</v>
      </c>
      <c r="H108" s="2">
        <v>83.3</v>
      </c>
      <c r="I108" s="2">
        <v>26.6</v>
      </c>
      <c r="J108" s="2">
        <v>10.9</v>
      </c>
      <c r="K108" s="9">
        <v>2.6</v>
      </c>
      <c r="L108" s="2">
        <v>56.7</v>
      </c>
    </row>
    <row r="109" spans="1:12" x14ac:dyDescent="0.25">
      <c r="A109" s="2" t="s">
        <v>54</v>
      </c>
      <c r="B109" s="8">
        <v>45659</v>
      </c>
      <c r="C109" s="2" t="s">
        <v>21</v>
      </c>
      <c r="D109" s="2">
        <v>110</v>
      </c>
      <c r="E109" s="2">
        <v>16.7</v>
      </c>
      <c r="F109" s="2">
        <v>4.87</v>
      </c>
      <c r="G109" s="2">
        <v>201.9</v>
      </c>
      <c r="H109" s="2">
        <v>127</v>
      </c>
      <c r="I109" s="2">
        <v>25.9</v>
      </c>
      <c r="J109" s="2">
        <v>19.8</v>
      </c>
      <c r="K109" s="9">
        <v>3.3</v>
      </c>
      <c r="L109" s="2">
        <v>60</v>
      </c>
    </row>
    <row r="110" spans="1:12" x14ac:dyDescent="0.25">
      <c r="A110" s="2" t="s">
        <v>55</v>
      </c>
      <c r="B110" s="8">
        <v>45659</v>
      </c>
      <c r="C110" s="2" t="s">
        <v>21</v>
      </c>
      <c r="D110" s="2">
        <v>110</v>
      </c>
      <c r="E110" s="2">
        <v>13.2</v>
      </c>
      <c r="F110" s="2">
        <v>3.68</v>
      </c>
      <c r="G110" s="2">
        <v>64.8</v>
      </c>
      <c r="H110" s="2">
        <v>37</v>
      </c>
      <c r="I110" s="2">
        <v>10.199999999999999</v>
      </c>
      <c r="J110" s="2">
        <v>6.8</v>
      </c>
      <c r="K110" s="9">
        <v>1.3</v>
      </c>
      <c r="L110" s="2">
        <v>69.900000000000006</v>
      </c>
    </row>
    <row r="111" spans="1:12" s="5" customFormat="1" x14ac:dyDescent="0.25">
      <c r="A111" s="5" t="s">
        <v>22</v>
      </c>
      <c r="B111" s="12"/>
      <c r="C111" s="5" t="s">
        <v>56</v>
      </c>
    </row>
    <row r="112" spans="1:12" x14ac:dyDescent="0.25">
      <c r="A112" s="2" t="s">
        <v>34</v>
      </c>
      <c r="C112" s="2" t="s">
        <v>56</v>
      </c>
    </row>
    <row r="113" spans="1:4" x14ac:dyDescent="0.25">
      <c r="A113" s="2" t="s">
        <v>24</v>
      </c>
      <c r="C113" s="2" t="s">
        <v>56</v>
      </c>
    </row>
    <row r="114" spans="1:4" x14ac:dyDescent="0.25">
      <c r="A114" s="2" t="s">
        <v>26</v>
      </c>
      <c r="C114" s="2" t="s">
        <v>56</v>
      </c>
    </row>
    <row r="115" spans="1:4" x14ac:dyDescent="0.25">
      <c r="A115" s="2" t="s">
        <v>36</v>
      </c>
      <c r="C115" s="2" t="s">
        <v>56</v>
      </c>
    </row>
    <row r="116" spans="1:4" x14ac:dyDescent="0.25">
      <c r="A116" s="2" t="s">
        <v>38</v>
      </c>
      <c r="C116" s="2" t="s">
        <v>56</v>
      </c>
    </row>
    <row r="117" spans="1:4" x14ac:dyDescent="0.25">
      <c r="A117" s="2" t="s">
        <v>23</v>
      </c>
      <c r="C117" s="2" t="s">
        <v>56</v>
      </c>
    </row>
    <row r="118" spans="1:4" x14ac:dyDescent="0.25">
      <c r="A118" s="2" t="s">
        <v>25</v>
      </c>
      <c r="C118" s="2" t="s">
        <v>56</v>
      </c>
    </row>
    <row r="119" spans="1:4" x14ac:dyDescent="0.25">
      <c r="A119" s="2" t="s">
        <v>35</v>
      </c>
      <c r="C119" s="2" t="s">
        <v>56</v>
      </c>
    </row>
    <row r="120" spans="1:4" x14ac:dyDescent="0.25">
      <c r="A120" s="2" t="s">
        <v>37</v>
      </c>
      <c r="C120" s="2" t="s">
        <v>56</v>
      </c>
    </row>
    <row r="121" spans="1:4" x14ac:dyDescent="0.25">
      <c r="A121" s="2" t="s">
        <v>32</v>
      </c>
      <c r="C121" s="2" t="s">
        <v>56</v>
      </c>
    </row>
    <row r="122" spans="1:4" x14ac:dyDescent="0.25">
      <c r="A122" s="2" t="s">
        <v>39</v>
      </c>
      <c r="C122" s="2" t="s">
        <v>56</v>
      </c>
    </row>
    <row r="123" spans="1:4" x14ac:dyDescent="0.25">
      <c r="A123" s="2" t="s">
        <v>33</v>
      </c>
      <c r="C123" s="2" t="s">
        <v>56</v>
      </c>
    </row>
    <row r="124" spans="1:4" x14ac:dyDescent="0.25">
      <c r="A124" s="2" t="s">
        <v>40</v>
      </c>
      <c r="C124" s="2" t="s">
        <v>56</v>
      </c>
    </row>
    <row r="125" spans="1:4" x14ac:dyDescent="0.25">
      <c r="A125" s="2" t="s">
        <v>42</v>
      </c>
      <c r="C125" s="2" t="s">
        <v>56</v>
      </c>
    </row>
    <row r="126" spans="1:4" x14ac:dyDescent="0.25">
      <c r="A126" s="2" t="s">
        <v>41</v>
      </c>
      <c r="C126" s="2" t="s">
        <v>56</v>
      </c>
    </row>
    <row r="127" spans="1:4" x14ac:dyDescent="0.25">
      <c r="A127" s="2" t="s">
        <v>44</v>
      </c>
      <c r="C127" s="2" t="s">
        <v>56</v>
      </c>
      <c r="D127" s="2">
        <v>49</v>
      </c>
    </row>
    <row r="128" spans="1:4" x14ac:dyDescent="0.25">
      <c r="A128" s="2" t="s">
        <v>43</v>
      </c>
      <c r="C128" s="2" t="s">
        <v>56</v>
      </c>
      <c r="D128" s="2">
        <v>49</v>
      </c>
    </row>
    <row r="129" spans="1:4" x14ac:dyDescent="0.25">
      <c r="A129" s="2" t="s">
        <v>45</v>
      </c>
      <c r="C129" s="2" t="s">
        <v>56</v>
      </c>
      <c r="D129" s="2">
        <v>49</v>
      </c>
    </row>
    <row r="130" spans="1:4" x14ac:dyDescent="0.25">
      <c r="A130" s="2" t="s">
        <v>47</v>
      </c>
      <c r="C130" s="2" t="s">
        <v>56</v>
      </c>
    </row>
    <row r="131" spans="1:4" x14ac:dyDescent="0.25">
      <c r="A131" s="2" t="s">
        <v>46</v>
      </c>
      <c r="C131" s="2" t="s">
        <v>56</v>
      </c>
    </row>
    <row r="132" spans="1:4" x14ac:dyDescent="0.25">
      <c r="A132" s="2" t="s">
        <v>57</v>
      </c>
      <c r="C132" s="2" t="s">
        <v>56</v>
      </c>
    </row>
    <row r="133" spans="1:4" x14ac:dyDescent="0.25">
      <c r="A133" s="2" t="s">
        <v>59</v>
      </c>
      <c r="C133" s="2" t="s">
        <v>56</v>
      </c>
    </row>
    <row r="134" spans="1:4" x14ac:dyDescent="0.25">
      <c r="A134" s="2" t="s">
        <v>61</v>
      </c>
      <c r="C134" s="2" t="s">
        <v>56</v>
      </c>
    </row>
    <row r="135" spans="1:4" x14ac:dyDescent="0.25">
      <c r="A135" s="2" t="s">
        <v>62</v>
      </c>
      <c r="C135" s="2" t="s">
        <v>56</v>
      </c>
    </row>
    <row r="136" spans="1:4" x14ac:dyDescent="0.25">
      <c r="A136" s="2" t="s">
        <v>60</v>
      </c>
      <c r="C136" s="2" t="s">
        <v>56</v>
      </c>
    </row>
    <row r="137" spans="1:4" x14ac:dyDescent="0.25">
      <c r="A137" s="2" t="s">
        <v>58</v>
      </c>
      <c r="C137" s="2" t="s">
        <v>56</v>
      </c>
    </row>
    <row r="138" spans="1:4" x14ac:dyDescent="0.25">
      <c r="A138" s="2" t="s">
        <v>63</v>
      </c>
      <c r="C138" s="2" t="s">
        <v>56</v>
      </c>
    </row>
    <row r="139" spans="1:4" x14ac:dyDescent="0.25">
      <c r="A139" s="2" t="s">
        <v>31</v>
      </c>
      <c r="C139" s="2" t="s">
        <v>56</v>
      </c>
    </row>
    <row r="140" spans="1:4" x14ac:dyDescent="0.25">
      <c r="A140" s="2" t="s">
        <v>48</v>
      </c>
      <c r="C140" s="2" t="s">
        <v>56</v>
      </c>
    </row>
    <row r="141" spans="1:4" x14ac:dyDescent="0.25">
      <c r="A141" s="2" t="s">
        <v>27</v>
      </c>
      <c r="C141" s="2" t="s">
        <v>56</v>
      </c>
    </row>
    <row r="142" spans="1:4" x14ac:dyDescent="0.25">
      <c r="A142" s="2" t="s">
        <v>28</v>
      </c>
      <c r="C142" s="2" t="s">
        <v>56</v>
      </c>
    </row>
    <row r="143" spans="1:4" x14ac:dyDescent="0.25">
      <c r="A143" s="2" t="s">
        <v>29</v>
      </c>
      <c r="C143" s="2" t="s">
        <v>56</v>
      </c>
    </row>
    <row r="144" spans="1:4" x14ac:dyDescent="0.25">
      <c r="A144" s="2" t="s">
        <v>30</v>
      </c>
      <c r="C144" s="2" t="s">
        <v>56</v>
      </c>
    </row>
    <row r="145" spans="1:4" x14ac:dyDescent="0.25">
      <c r="A145" s="2" t="s">
        <v>52</v>
      </c>
      <c r="C145" s="2" t="s">
        <v>56</v>
      </c>
    </row>
    <row r="146" spans="1:4" x14ac:dyDescent="0.25">
      <c r="A146" s="2" t="s">
        <v>49</v>
      </c>
      <c r="C146" s="2" t="s">
        <v>56</v>
      </c>
    </row>
    <row r="147" spans="1:4" x14ac:dyDescent="0.25">
      <c r="A147" s="2" t="s">
        <v>50</v>
      </c>
      <c r="C147" s="2" t="s">
        <v>56</v>
      </c>
    </row>
    <row r="148" spans="1:4" x14ac:dyDescent="0.25">
      <c r="A148" s="2" t="s">
        <v>51</v>
      </c>
      <c r="C148" s="2" t="s">
        <v>56</v>
      </c>
    </row>
    <row r="149" spans="1:4" x14ac:dyDescent="0.25">
      <c r="A149" s="2" t="s">
        <v>53</v>
      </c>
      <c r="C149" s="2" t="s">
        <v>56</v>
      </c>
    </row>
    <row r="150" spans="1:4" x14ac:dyDescent="0.25">
      <c r="A150" s="2" t="s">
        <v>54</v>
      </c>
      <c r="C150" s="2" t="s">
        <v>56</v>
      </c>
    </row>
    <row r="151" spans="1:4" x14ac:dyDescent="0.25">
      <c r="A151" s="2" t="s">
        <v>55</v>
      </c>
      <c r="C151" s="2" t="s">
        <v>56</v>
      </c>
    </row>
    <row r="152" spans="1:4" s="5" customFormat="1" x14ac:dyDescent="0.25">
      <c r="A152" s="5" t="s">
        <v>22</v>
      </c>
      <c r="B152" s="12"/>
      <c r="C152" s="5" t="s">
        <v>6</v>
      </c>
      <c r="D152" s="5">
        <v>53</v>
      </c>
    </row>
    <row r="153" spans="1:4" x14ac:dyDescent="0.25">
      <c r="A153" s="2" t="s">
        <v>34</v>
      </c>
      <c r="C153" s="2" t="s">
        <v>6</v>
      </c>
      <c r="D153" s="2">
        <v>46</v>
      </c>
    </row>
    <row r="154" spans="1:4" x14ac:dyDescent="0.25">
      <c r="A154" s="2" t="s">
        <v>24</v>
      </c>
      <c r="C154" s="2" t="s">
        <v>6</v>
      </c>
    </row>
    <row r="155" spans="1:4" x14ac:dyDescent="0.25">
      <c r="A155" s="2" t="s">
        <v>26</v>
      </c>
      <c r="C155" s="2" t="s">
        <v>6</v>
      </c>
    </row>
    <row r="156" spans="1:4" x14ac:dyDescent="0.25">
      <c r="A156" s="2" t="s">
        <v>36</v>
      </c>
      <c r="C156" s="2" t="s">
        <v>6</v>
      </c>
    </row>
    <row r="157" spans="1:4" x14ac:dyDescent="0.25">
      <c r="A157" s="2" t="s">
        <v>38</v>
      </c>
      <c r="C157" s="2" t="s">
        <v>6</v>
      </c>
    </row>
    <row r="158" spans="1:4" x14ac:dyDescent="0.25">
      <c r="A158" s="2" t="s">
        <v>23</v>
      </c>
      <c r="C158" s="2" t="s">
        <v>6</v>
      </c>
    </row>
    <row r="159" spans="1:4" x14ac:dyDescent="0.25">
      <c r="A159" s="2" t="s">
        <v>25</v>
      </c>
      <c r="C159" s="2" t="s">
        <v>6</v>
      </c>
    </row>
    <row r="160" spans="1:4" x14ac:dyDescent="0.25">
      <c r="A160" s="2" t="s">
        <v>35</v>
      </c>
      <c r="C160" s="2" t="s">
        <v>6</v>
      </c>
    </row>
    <row r="161" spans="1:4" x14ac:dyDescent="0.25">
      <c r="A161" s="2" t="s">
        <v>37</v>
      </c>
      <c r="C161" s="2" t="s">
        <v>6</v>
      </c>
    </row>
    <row r="162" spans="1:4" x14ac:dyDescent="0.25">
      <c r="A162" s="2" t="s">
        <v>32</v>
      </c>
      <c r="C162" s="2" t="s">
        <v>6</v>
      </c>
      <c r="D162" s="2">
        <v>38.9</v>
      </c>
    </row>
    <row r="163" spans="1:4" x14ac:dyDescent="0.25">
      <c r="A163" s="2" t="s">
        <v>39</v>
      </c>
      <c r="C163" s="2" t="s">
        <v>6</v>
      </c>
      <c r="D163" s="2">
        <v>34.4</v>
      </c>
    </row>
    <row r="164" spans="1:4" x14ac:dyDescent="0.25">
      <c r="A164" s="2" t="s">
        <v>33</v>
      </c>
      <c r="C164" s="2" t="s">
        <v>6</v>
      </c>
      <c r="D164" s="2">
        <v>53.5</v>
      </c>
    </row>
    <row r="165" spans="1:4" x14ac:dyDescent="0.25">
      <c r="A165" s="2" t="s">
        <v>40</v>
      </c>
      <c r="C165" s="2" t="s">
        <v>6</v>
      </c>
      <c r="D165" s="2">
        <v>54.1</v>
      </c>
    </row>
    <row r="166" spans="1:4" x14ac:dyDescent="0.25">
      <c r="A166" s="2" t="s">
        <v>42</v>
      </c>
      <c r="C166" s="2" t="s">
        <v>6</v>
      </c>
      <c r="D166" s="2">
        <v>90</v>
      </c>
    </row>
    <row r="167" spans="1:4" x14ac:dyDescent="0.25">
      <c r="A167" s="2" t="s">
        <v>41</v>
      </c>
      <c r="C167" s="2" t="s">
        <v>6</v>
      </c>
      <c r="D167" s="2">
        <v>79</v>
      </c>
    </row>
    <row r="168" spans="1:4" x14ac:dyDescent="0.25">
      <c r="A168" s="2" t="s">
        <v>44</v>
      </c>
      <c r="C168" s="2" t="s">
        <v>6</v>
      </c>
      <c r="D168" s="2">
        <v>91</v>
      </c>
    </row>
    <row r="169" spans="1:4" x14ac:dyDescent="0.25">
      <c r="A169" s="2" t="s">
        <v>43</v>
      </c>
      <c r="C169" s="2" t="s">
        <v>6</v>
      </c>
      <c r="D169" s="2">
        <v>68</v>
      </c>
    </row>
    <row r="170" spans="1:4" x14ac:dyDescent="0.25">
      <c r="A170" s="2" t="s">
        <v>45</v>
      </c>
      <c r="C170" s="2" t="s">
        <v>6</v>
      </c>
      <c r="D170" s="2">
        <v>55</v>
      </c>
    </row>
    <row r="171" spans="1:4" x14ac:dyDescent="0.25">
      <c r="A171" s="2" t="s">
        <v>47</v>
      </c>
      <c r="C171" s="2" t="s">
        <v>6</v>
      </c>
      <c r="D171" s="2">
        <v>69</v>
      </c>
    </row>
    <row r="172" spans="1:4" x14ac:dyDescent="0.25">
      <c r="A172" s="2" t="s">
        <v>46</v>
      </c>
      <c r="C172" s="2" t="s">
        <v>6</v>
      </c>
      <c r="D172" s="2">
        <v>63</v>
      </c>
    </row>
    <row r="173" spans="1:4" x14ac:dyDescent="0.25">
      <c r="A173" s="2" t="s">
        <v>57</v>
      </c>
      <c r="C173" s="2" t="s">
        <v>6</v>
      </c>
      <c r="D173" s="2">
        <v>25</v>
      </c>
    </row>
    <row r="174" spans="1:4" x14ac:dyDescent="0.25">
      <c r="A174" s="2" t="s">
        <v>59</v>
      </c>
      <c r="C174" s="2" t="s">
        <v>6</v>
      </c>
      <c r="D174" s="2">
        <v>31</v>
      </c>
    </row>
    <row r="175" spans="1:4" x14ac:dyDescent="0.25">
      <c r="A175" s="2" t="s">
        <v>61</v>
      </c>
      <c r="C175" s="2" t="s">
        <v>6</v>
      </c>
      <c r="D175" s="2">
        <v>31</v>
      </c>
    </row>
    <row r="176" spans="1:4" x14ac:dyDescent="0.25">
      <c r="A176" s="2" t="s">
        <v>62</v>
      </c>
      <c r="C176" s="2" t="s">
        <v>6</v>
      </c>
      <c r="D176" s="2">
        <v>31</v>
      </c>
    </row>
    <row r="177" spans="1:4" x14ac:dyDescent="0.25">
      <c r="A177" s="2" t="s">
        <v>60</v>
      </c>
      <c r="C177" s="2" t="s">
        <v>6</v>
      </c>
      <c r="D177" s="2">
        <v>31</v>
      </c>
    </row>
    <row r="178" spans="1:4" x14ac:dyDescent="0.25">
      <c r="A178" s="2" t="s">
        <v>58</v>
      </c>
      <c r="C178" s="2" t="s">
        <v>6</v>
      </c>
      <c r="D178" s="2">
        <v>25.3</v>
      </c>
    </row>
    <row r="179" spans="1:4" x14ac:dyDescent="0.25">
      <c r="A179" s="2" t="s">
        <v>63</v>
      </c>
      <c r="C179" s="2" t="s">
        <v>6</v>
      </c>
      <c r="D179" s="2">
        <v>25.5</v>
      </c>
    </row>
    <row r="180" spans="1:4" x14ac:dyDescent="0.25">
      <c r="A180" s="2" t="s">
        <v>31</v>
      </c>
      <c r="C180" s="2" t="s">
        <v>6</v>
      </c>
      <c r="D180" s="2">
        <v>40</v>
      </c>
    </row>
    <row r="181" spans="1:4" x14ac:dyDescent="0.25">
      <c r="A181" s="2" t="s">
        <v>48</v>
      </c>
      <c r="C181" s="2" t="s">
        <v>6</v>
      </c>
      <c r="D181" s="2">
        <v>34</v>
      </c>
    </row>
    <row r="182" spans="1:4" x14ac:dyDescent="0.25">
      <c r="A182" s="2" t="s">
        <v>27</v>
      </c>
      <c r="C182" s="2" t="s">
        <v>6</v>
      </c>
      <c r="D182" s="2">
        <v>99.8</v>
      </c>
    </row>
    <row r="183" spans="1:4" x14ac:dyDescent="0.25">
      <c r="A183" s="2" t="s">
        <v>28</v>
      </c>
      <c r="C183" s="2" t="s">
        <v>6</v>
      </c>
      <c r="D183" s="2">
        <v>100.3</v>
      </c>
    </row>
    <row r="184" spans="1:4" x14ac:dyDescent="0.25">
      <c r="A184" s="2" t="s">
        <v>29</v>
      </c>
      <c r="C184" s="2" t="s">
        <v>6</v>
      </c>
      <c r="D184" s="2">
        <v>103</v>
      </c>
    </row>
    <row r="185" spans="1:4" x14ac:dyDescent="0.25">
      <c r="A185" s="2" t="s">
        <v>30</v>
      </c>
      <c r="C185" s="2" t="s">
        <v>6</v>
      </c>
      <c r="D185" s="2">
        <v>98</v>
      </c>
    </row>
    <row r="186" spans="1:4" x14ac:dyDescent="0.25">
      <c r="A186" s="2" t="s">
        <v>52</v>
      </c>
      <c r="C186" s="2" t="s">
        <v>6</v>
      </c>
      <c r="D186" s="2">
        <v>90.5</v>
      </c>
    </row>
    <row r="187" spans="1:4" x14ac:dyDescent="0.25">
      <c r="A187" s="2" t="s">
        <v>49</v>
      </c>
      <c r="C187" s="2" t="s">
        <v>6</v>
      </c>
      <c r="D187" s="2">
        <v>86.5</v>
      </c>
    </row>
    <row r="188" spans="1:4" x14ac:dyDescent="0.25">
      <c r="A188" s="2" t="s">
        <v>50</v>
      </c>
      <c r="C188" s="2" t="s">
        <v>6</v>
      </c>
      <c r="D188" s="2">
        <v>84.3</v>
      </c>
    </row>
    <row r="189" spans="1:4" x14ac:dyDescent="0.25">
      <c r="A189" s="2" t="s">
        <v>51</v>
      </c>
      <c r="C189" s="2" t="s">
        <v>6</v>
      </c>
      <c r="D189" s="2">
        <v>87.5</v>
      </c>
    </row>
    <row r="190" spans="1:4" x14ac:dyDescent="0.25">
      <c r="A190" s="2" t="s">
        <v>53</v>
      </c>
      <c r="C190" s="2" t="s">
        <v>6</v>
      </c>
      <c r="D190" s="2">
        <v>43</v>
      </c>
    </row>
    <row r="191" spans="1:4" x14ac:dyDescent="0.25">
      <c r="A191" s="2" t="s">
        <v>54</v>
      </c>
      <c r="C191" s="2" t="s">
        <v>6</v>
      </c>
      <c r="D191" s="2">
        <v>39.700000000000003</v>
      </c>
    </row>
    <row r="192" spans="1:4" x14ac:dyDescent="0.25">
      <c r="A192" s="2" t="s">
        <v>55</v>
      </c>
      <c r="C192" s="2" t="s">
        <v>6</v>
      </c>
      <c r="D192" s="2">
        <v>38.299999999999997</v>
      </c>
    </row>
    <row r="193" spans="1:4" s="5" customFormat="1" x14ac:dyDescent="0.25">
      <c r="A193" s="5" t="s">
        <v>22</v>
      </c>
      <c r="B193" s="12"/>
      <c r="C193" s="5" t="s">
        <v>3</v>
      </c>
      <c r="D193" s="5">
        <v>173</v>
      </c>
    </row>
    <row r="194" spans="1:4" x14ac:dyDescent="0.25">
      <c r="A194" s="2" t="s">
        <v>34</v>
      </c>
      <c r="C194" s="2" t="s">
        <v>3</v>
      </c>
      <c r="D194" s="2">
        <v>137</v>
      </c>
    </row>
    <row r="195" spans="1:4" x14ac:dyDescent="0.25">
      <c r="A195" s="2" t="s">
        <v>24</v>
      </c>
      <c r="C195" s="2" t="s">
        <v>3</v>
      </c>
    </row>
    <row r="196" spans="1:4" x14ac:dyDescent="0.25">
      <c r="A196" s="2" t="s">
        <v>26</v>
      </c>
      <c r="C196" s="2" t="s">
        <v>3</v>
      </c>
    </row>
    <row r="197" spans="1:4" x14ac:dyDescent="0.25">
      <c r="A197" s="2" t="s">
        <v>36</v>
      </c>
      <c r="C197" s="2" t="s">
        <v>3</v>
      </c>
    </row>
    <row r="198" spans="1:4" x14ac:dyDescent="0.25">
      <c r="A198" s="2" t="s">
        <v>38</v>
      </c>
      <c r="C198" s="2" t="s">
        <v>3</v>
      </c>
    </row>
    <row r="199" spans="1:4" x14ac:dyDescent="0.25">
      <c r="A199" s="2" t="s">
        <v>23</v>
      </c>
      <c r="C199" s="2" t="s">
        <v>3</v>
      </c>
    </row>
    <row r="200" spans="1:4" x14ac:dyDescent="0.25">
      <c r="A200" s="2" t="s">
        <v>25</v>
      </c>
      <c r="C200" s="2" t="s">
        <v>3</v>
      </c>
    </row>
    <row r="201" spans="1:4" x14ac:dyDescent="0.25">
      <c r="A201" s="2" t="s">
        <v>35</v>
      </c>
      <c r="C201" s="2" t="s">
        <v>3</v>
      </c>
    </row>
    <row r="202" spans="1:4" x14ac:dyDescent="0.25">
      <c r="A202" s="2" t="s">
        <v>37</v>
      </c>
      <c r="C202" s="2" t="s">
        <v>3</v>
      </c>
    </row>
    <row r="203" spans="1:4" x14ac:dyDescent="0.25">
      <c r="A203" s="2" t="s">
        <v>32</v>
      </c>
      <c r="C203" s="2" t="s">
        <v>3</v>
      </c>
      <c r="D203" s="2">
        <v>111</v>
      </c>
    </row>
    <row r="204" spans="1:4" x14ac:dyDescent="0.25">
      <c r="A204" s="2" t="s">
        <v>39</v>
      </c>
      <c r="C204" s="2" t="s">
        <v>3</v>
      </c>
      <c r="D204" s="2">
        <v>111</v>
      </c>
    </row>
    <row r="205" spans="1:4" x14ac:dyDescent="0.25">
      <c r="A205" s="2" t="s">
        <v>33</v>
      </c>
      <c r="C205" s="2" t="s">
        <v>3</v>
      </c>
      <c r="D205" s="2">
        <v>154</v>
      </c>
    </row>
    <row r="206" spans="1:4" x14ac:dyDescent="0.25">
      <c r="A206" s="2" t="s">
        <v>40</v>
      </c>
      <c r="C206" s="2" t="s">
        <v>3</v>
      </c>
      <c r="D206" s="2">
        <v>148</v>
      </c>
    </row>
    <row r="207" spans="1:4" x14ac:dyDescent="0.25">
      <c r="A207" s="2" t="s">
        <v>42</v>
      </c>
      <c r="C207" s="2" t="s">
        <v>3</v>
      </c>
      <c r="D207" s="2">
        <v>170</v>
      </c>
    </row>
    <row r="208" spans="1:4" x14ac:dyDescent="0.25">
      <c r="A208" s="2" t="s">
        <v>41</v>
      </c>
      <c r="C208" s="2" t="s">
        <v>3</v>
      </c>
      <c r="D208" s="2">
        <v>170</v>
      </c>
    </row>
    <row r="209" spans="1:4" x14ac:dyDescent="0.25">
      <c r="A209" s="2" t="s">
        <v>44</v>
      </c>
      <c r="C209" s="2" t="s">
        <v>3</v>
      </c>
      <c r="D209" s="2">
        <v>160</v>
      </c>
    </row>
    <row r="210" spans="1:4" x14ac:dyDescent="0.25">
      <c r="A210" s="2" t="s">
        <v>43</v>
      </c>
      <c r="C210" s="2" t="s">
        <v>3</v>
      </c>
      <c r="D210" s="2">
        <v>160</v>
      </c>
    </row>
    <row r="211" spans="1:4" x14ac:dyDescent="0.25">
      <c r="A211" s="2" t="s">
        <v>45</v>
      </c>
      <c r="C211" s="2" t="s">
        <v>3</v>
      </c>
      <c r="D211" s="2">
        <v>149</v>
      </c>
    </row>
    <row r="212" spans="1:4" x14ac:dyDescent="0.25">
      <c r="A212" s="2" t="s">
        <v>47</v>
      </c>
      <c r="C212" s="2" t="s">
        <v>3</v>
      </c>
      <c r="D212" s="2">
        <v>161</v>
      </c>
    </row>
    <row r="213" spans="1:4" x14ac:dyDescent="0.25">
      <c r="A213" s="2" t="s">
        <v>46</v>
      </c>
      <c r="C213" s="2" t="s">
        <v>3</v>
      </c>
      <c r="D213" s="2">
        <v>136</v>
      </c>
    </row>
    <row r="214" spans="1:4" x14ac:dyDescent="0.25">
      <c r="A214" s="2" t="s">
        <v>57</v>
      </c>
      <c r="C214" s="2" t="s">
        <v>3</v>
      </c>
      <c r="D214" s="2">
        <v>78</v>
      </c>
    </row>
    <row r="215" spans="1:4" x14ac:dyDescent="0.25">
      <c r="A215" s="2" t="s">
        <v>59</v>
      </c>
      <c r="C215" s="2" t="s">
        <v>3</v>
      </c>
      <c r="D215" s="2">
        <v>78</v>
      </c>
    </row>
    <row r="216" spans="1:4" x14ac:dyDescent="0.25">
      <c r="A216" s="2" t="s">
        <v>61</v>
      </c>
      <c r="C216" s="2" t="s">
        <v>3</v>
      </c>
      <c r="D216" s="2">
        <v>78</v>
      </c>
    </row>
    <row r="217" spans="1:4" x14ac:dyDescent="0.25">
      <c r="A217" s="2" t="s">
        <v>62</v>
      </c>
      <c r="C217" s="2" t="s">
        <v>3</v>
      </c>
      <c r="D217" s="2">
        <v>78</v>
      </c>
    </row>
    <row r="218" spans="1:4" x14ac:dyDescent="0.25">
      <c r="A218" s="2" t="s">
        <v>60</v>
      </c>
      <c r="C218" s="2" t="s">
        <v>3</v>
      </c>
      <c r="D218" s="2">
        <v>78</v>
      </c>
    </row>
    <row r="219" spans="1:4" x14ac:dyDescent="0.25">
      <c r="A219" s="2" t="s">
        <v>58</v>
      </c>
      <c r="C219" s="2" t="s">
        <v>3</v>
      </c>
      <c r="D219" s="2">
        <v>76.5</v>
      </c>
    </row>
    <row r="220" spans="1:4" x14ac:dyDescent="0.25">
      <c r="A220" s="2" t="s">
        <v>63</v>
      </c>
      <c r="C220" s="2" t="s">
        <v>3</v>
      </c>
      <c r="D220" s="2">
        <v>98.5</v>
      </c>
    </row>
    <row r="221" spans="1:4" x14ac:dyDescent="0.25">
      <c r="A221" s="2" t="s">
        <v>31</v>
      </c>
      <c r="C221" s="2" t="s">
        <v>3</v>
      </c>
    </row>
    <row r="222" spans="1:4" x14ac:dyDescent="0.25">
      <c r="A222" s="2" t="s">
        <v>48</v>
      </c>
      <c r="C222" s="2" t="s">
        <v>3</v>
      </c>
    </row>
    <row r="223" spans="1:4" x14ac:dyDescent="0.25">
      <c r="A223" s="2" t="s">
        <v>27</v>
      </c>
      <c r="C223" s="2" t="s">
        <v>3</v>
      </c>
    </row>
    <row r="224" spans="1:4" x14ac:dyDescent="0.25">
      <c r="A224" s="2" t="s">
        <v>28</v>
      </c>
      <c r="C224" s="2" t="s">
        <v>3</v>
      </c>
    </row>
    <row r="225" spans="1:3" x14ac:dyDescent="0.25">
      <c r="A225" s="2" t="s">
        <v>29</v>
      </c>
      <c r="C225" s="2" t="s">
        <v>3</v>
      </c>
    </row>
    <row r="226" spans="1:3" x14ac:dyDescent="0.25">
      <c r="A226" s="2" t="s">
        <v>30</v>
      </c>
      <c r="C226" s="2" t="s">
        <v>3</v>
      </c>
    </row>
    <row r="227" spans="1:3" x14ac:dyDescent="0.25">
      <c r="A227" s="2" t="s">
        <v>52</v>
      </c>
      <c r="C227" s="2" t="s">
        <v>3</v>
      </c>
    </row>
    <row r="228" spans="1:3" x14ac:dyDescent="0.25">
      <c r="A228" s="2" t="s">
        <v>49</v>
      </c>
      <c r="C228" s="2" t="s">
        <v>3</v>
      </c>
    </row>
    <row r="229" spans="1:3" x14ac:dyDescent="0.25">
      <c r="A229" s="2" t="s">
        <v>50</v>
      </c>
      <c r="C229" s="2" t="s">
        <v>3</v>
      </c>
    </row>
    <row r="230" spans="1:3" x14ac:dyDescent="0.25">
      <c r="A230" s="2" t="s">
        <v>51</v>
      </c>
      <c r="C230" s="2" t="s">
        <v>3</v>
      </c>
    </row>
    <row r="231" spans="1:3" x14ac:dyDescent="0.25">
      <c r="A231" s="2" t="s">
        <v>53</v>
      </c>
      <c r="C231" s="2" t="s">
        <v>3</v>
      </c>
    </row>
    <row r="232" spans="1:3" x14ac:dyDescent="0.25">
      <c r="A232" s="2" t="s">
        <v>54</v>
      </c>
      <c r="C232" s="2" t="s">
        <v>3</v>
      </c>
    </row>
    <row r="233" spans="1:3" x14ac:dyDescent="0.25">
      <c r="A233" s="2" t="s">
        <v>55</v>
      </c>
      <c r="C233" s="2" t="s">
        <v>3</v>
      </c>
    </row>
  </sheetData>
  <pageMargins left="0.7" right="0.7" top="0.75" bottom="0.75" header="0.3" footer="0.3"/>
  <pageSetup paperSize="9" orientation="portrait" verticalDpi="0" r:id="rId1"/>
</worksheet>
</file>

<file path=docMetadata/LabelInfo.xml><?xml version="1.0" encoding="utf-8"?>
<clbl:labelList xmlns:clbl="http://schemas.microsoft.com/office/2020/mipLabelMetadata">
  <clbl:label id="{b4fff8a3-050f-428f-b966-cc56f581f9b1}" enabled="1" method="Standard" siteId="{7dfbfb93-19b6-4985-ac7e-501a3793845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Observed</vt:lpstr>
    </vt:vector>
  </TitlesOfParts>
  <Company>University of Southern Queensland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Suman Gajurel</dc:creator>
  <cp:lastModifiedBy>Brian Collins</cp:lastModifiedBy>
  <dcterms:created xsi:type="dcterms:W3CDTF">2024-08-13T23:40:00Z</dcterms:created>
  <dcterms:modified xsi:type="dcterms:W3CDTF">2025-08-28T03:40:40Z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4fff8a3-050f-428f-b966-cc56f581f9b1_Enabled">
    <vt:lpwstr>true</vt:lpwstr>
  </property>
  <property fmtid="{D5CDD505-2E9C-101B-9397-08002B2CF9AE}" pid="3" name="MSIP_Label_b4fff8a3-050f-428f-b966-cc56f581f9b1_SetDate">
    <vt:lpwstr>2024-08-13T23:40:00Z</vt:lpwstr>
  </property>
  <property fmtid="{D5CDD505-2E9C-101B-9397-08002B2CF9AE}" pid="4" name="MSIP_Label_b4fff8a3-050f-428f-b966-cc56f581f9b1_Method">
    <vt:lpwstr>Standard</vt:lpwstr>
  </property>
  <property fmtid="{D5CDD505-2E9C-101B-9397-08002B2CF9AE}" pid="5" name="MSIP_Label_b4fff8a3-050f-428f-b966-cc56f581f9b1_Name">
    <vt:lpwstr>Official</vt:lpwstr>
  </property>
  <property fmtid="{D5CDD505-2E9C-101B-9397-08002B2CF9AE}" pid="6" name="MSIP_Label_b4fff8a3-050f-428f-b966-cc56f581f9b1_SiteId">
    <vt:lpwstr>7dfbfb93-19b6-4985-ac7e-501a37938456</vt:lpwstr>
  </property>
  <property fmtid="{D5CDD505-2E9C-101B-9397-08002B2CF9AE}" pid="7" name="MSIP_Label_b4fff8a3-050f-428f-b966-cc56f581f9b1_ActionId">
    <vt:lpwstr>41f6bfa8-e1ac-48ac-96cc-028ecd7cd740</vt:lpwstr>
  </property>
  <property fmtid="{D5CDD505-2E9C-101B-9397-08002B2CF9AE}" pid="8" name="MSIP_Label_b4fff8a3-050f-428f-b966-cc56f581f9b1_ContentBits">
    <vt:lpwstr>0</vt:lpwstr>
  </property>
</Properties>
</file>