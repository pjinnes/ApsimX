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ter\source\repos\Sesame-Apsimx\Apsimx\Prototypes\Sesame\"/>
    </mc:Choice>
  </mc:AlternateContent>
  <xr:revisionPtr revIDLastSave="0" documentId="13_ncr:1_{4A2AEFF0-7539-44DD-B876-E99674964D26}" xr6:coauthVersionLast="47" xr6:coauthVersionMax="47" xr10:uidLastSave="{00000000-0000-0000-0000-000000000000}"/>
  <bookViews>
    <workbookView xWindow="700" yWindow="1120" windowWidth="24390" windowHeight="14150" xr2:uid="{857C0208-4D04-4514-A3CE-6D305A175862}"/>
  </bookViews>
  <sheets>
    <sheet name="Observed" sheetId="2" r:id="rId1"/>
    <sheet name="Observed-orig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37" i="2" l="1"/>
  <c r="G135" i="2"/>
  <c r="G133" i="2"/>
  <c r="G131" i="2"/>
  <c r="G129" i="2"/>
  <c r="G127" i="2"/>
  <c r="G125" i="2"/>
  <c r="G123" i="2"/>
  <c r="G121" i="2"/>
  <c r="G119" i="2"/>
  <c r="G117" i="2"/>
  <c r="G113" i="2"/>
  <c r="G110" i="2"/>
  <c r="G107" i="2"/>
  <c r="G104" i="2"/>
  <c r="G101" i="2"/>
  <c r="G98" i="2"/>
  <c r="G95" i="2"/>
  <c r="G92" i="2"/>
  <c r="G89" i="2"/>
  <c r="G86" i="2"/>
  <c r="G82" i="2"/>
  <c r="G78" i="2"/>
  <c r="G75" i="2"/>
  <c r="G71" i="2"/>
  <c r="G68" i="2"/>
  <c r="G65" i="2"/>
  <c r="G62" i="2"/>
  <c r="G59" i="2"/>
  <c r="G32" i="2"/>
  <c r="G31" i="2"/>
  <c r="G30" i="2"/>
  <c r="G29" i="2"/>
  <c r="G28" i="2"/>
  <c r="G26" i="2"/>
  <c r="G25" i="2"/>
  <c r="G24" i="2"/>
  <c r="G21" i="2"/>
  <c r="O137" i="2"/>
  <c r="K137" i="2"/>
  <c r="O135" i="2"/>
  <c r="K135" i="2"/>
  <c r="O133" i="2"/>
  <c r="K133" i="2"/>
  <c r="O131" i="2"/>
  <c r="K131" i="2"/>
  <c r="O129" i="2"/>
  <c r="K129" i="2"/>
  <c r="O127" i="2"/>
  <c r="K127" i="2"/>
  <c r="O125" i="2"/>
  <c r="K125" i="2"/>
  <c r="O123" i="2"/>
  <c r="K123" i="2"/>
  <c r="O121" i="2"/>
  <c r="K121" i="2"/>
  <c r="O119" i="2"/>
  <c r="K119" i="2"/>
  <c r="O117" i="2"/>
  <c r="K117" i="2"/>
  <c r="O113" i="2"/>
  <c r="K113" i="2"/>
  <c r="O110" i="2"/>
  <c r="K110" i="2"/>
  <c r="O107" i="2"/>
  <c r="K107" i="2"/>
  <c r="O104" i="2"/>
  <c r="K104" i="2"/>
  <c r="O101" i="2"/>
  <c r="K101" i="2"/>
  <c r="O98" i="2"/>
  <c r="K98" i="2"/>
  <c r="O95" i="2"/>
  <c r="K95" i="2"/>
  <c r="O92" i="2"/>
  <c r="K92" i="2"/>
  <c r="O89" i="2"/>
  <c r="K89" i="2"/>
  <c r="O86" i="2"/>
  <c r="K86" i="2"/>
  <c r="O82" i="2"/>
  <c r="K82" i="2"/>
  <c r="O78" i="2"/>
  <c r="K78" i="2"/>
  <c r="O75" i="2"/>
  <c r="K75" i="2"/>
  <c r="O71" i="2"/>
  <c r="K71" i="2"/>
  <c r="O68" i="2"/>
  <c r="K68" i="2"/>
  <c r="O65" i="2"/>
  <c r="K65" i="2"/>
  <c r="O62" i="2"/>
  <c r="K62" i="2"/>
  <c r="O59" i="2"/>
  <c r="K59" i="2"/>
  <c r="K29" i="2"/>
  <c r="K30" i="2"/>
  <c r="K31" i="2"/>
  <c r="K32" i="2"/>
  <c r="K28" i="2"/>
  <c r="O31" i="2"/>
  <c r="O32" i="2"/>
  <c r="O30" i="2"/>
  <c r="O29" i="2"/>
  <c r="O28" i="2"/>
  <c r="O25" i="2"/>
  <c r="O26" i="2"/>
  <c r="O24" i="2"/>
  <c r="K25" i="2"/>
  <c r="K26" i="2"/>
  <c r="K24" i="2"/>
  <c r="O21" i="2"/>
  <c r="K21" i="2"/>
  <c r="U55" i="2"/>
  <c r="T55" i="2"/>
  <c r="H55" i="2" s="1"/>
  <c r="U43" i="2"/>
  <c r="T43" i="2"/>
  <c r="I43" i="2" s="1"/>
  <c r="P39" i="1"/>
  <c r="O39" i="1"/>
  <c r="P38" i="1"/>
  <c r="O38" i="1"/>
  <c r="I55" i="2" l="1"/>
  <c r="H43" i="2"/>
  <c r="G38" i="1"/>
  <c r="G39" i="1"/>
</calcChain>
</file>

<file path=xl/sharedStrings.xml><?xml version="1.0" encoding="utf-8"?>
<sst xmlns="http://schemas.openxmlformats.org/spreadsheetml/2006/main" count="577" uniqueCount="80">
  <si>
    <t>SimulationName</t>
  </si>
  <si>
    <t>Clock.Today</t>
  </si>
  <si>
    <t>ShellAndGrainLiveWt</t>
  </si>
  <si>
    <t>Maturity</t>
  </si>
  <si>
    <t>Emergence</t>
  </si>
  <si>
    <t>TullyWaterWet</t>
  </si>
  <si>
    <t>StartFlowering</t>
  </si>
  <si>
    <t>StartPodDevelopment</t>
  </si>
  <si>
    <t>StartGrainFilling</t>
  </si>
  <si>
    <t>EndCanopyDevelopment</t>
  </si>
  <si>
    <t>EndPodDevelopment</t>
  </si>
  <si>
    <t>EndGrainFilling</t>
  </si>
  <si>
    <t>EndDrydown</t>
  </si>
  <si>
    <t>Bikaner2017SowingJuly10</t>
  </si>
  <si>
    <t>Bikaner2017SowingJuly20</t>
  </si>
  <si>
    <t>Bikaner2017SowingJuly30</t>
  </si>
  <si>
    <t>Bikaner2017SowingAug09</t>
  </si>
  <si>
    <t>ForestHomeYear2018-6821</t>
  </si>
  <si>
    <t>ForestHomeYear2018-6824</t>
  </si>
  <si>
    <t>Harvest</t>
  </si>
  <si>
    <t>Emerald22Sum_B_IR</t>
  </si>
  <si>
    <t>Emerald23Sum_B_IR_Jan</t>
  </si>
  <si>
    <t>Emerald23Sum_B_IR_Feb</t>
  </si>
  <si>
    <t>Emerald23Sum_B_RF_Feb</t>
  </si>
  <si>
    <t>Tully23Win_B_0_RF</t>
  </si>
  <si>
    <t>Tully23Win_B_40_RF</t>
  </si>
  <si>
    <t>Tully23Win_B_80_RF</t>
  </si>
  <si>
    <t>Tully23Win_B_120_RF</t>
  </si>
  <si>
    <t>Tully22Sum_B_RF</t>
  </si>
  <si>
    <t>Katherine22Sum_B_RF</t>
  </si>
  <si>
    <t>Katherine23Win_B_IR</t>
  </si>
  <si>
    <t>Emerald22Sum_W103_IR</t>
  </si>
  <si>
    <t>Emerald23Sum_W103_IR_Jan</t>
  </si>
  <si>
    <t>Emerald23Sum_W103_IR_Feb</t>
  </si>
  <si>
    <t>Emerald23Sum_W103_RF_Jan</t>
  </si>
  <si>
    <t>Emerald23Sum_W103_RF_Feb</t>
  </si>
  <si>
    <t>Katherine22Sum_W103_RF</t>
  </si>
  <si>
    <t>Katherine23Win_W103_IR</t>
  </si>
  <si>
    <t>Katherine24Win_W103_IR_Feb</t>
  </si>
  <si>
    <t>Katherine24Win_B_IR_Feb</t>
  </si>
  <si>
    <t>Katherine24Win_W103_IR_May</t>
  </si>
  <si>
    <t>Katherine24Win_B_IR_May</t>
  </si>
  <si>
    <t>Katherine24Win_W313_IR_May</t>
  </si>
  <si>
    <t>Kununurra23Win_W103_IR</t>
  </si>
  <si>
    <t>Kununurra23Win_B_IR</t>
  </si>
  <si>
    <t>Tully22Sum_W103_RF</t>
  </si>
  <si>
    <t>Tully23Win_W103_40_RF</t>
  </si>
  <si>
    <t>Tully23Win_W103_80_RF</t>
  </si>
  <si>
    <t>Tully23Win_W103_120_RF</t>
  </si>
  <si>
    <t>Tully23Win_W103_0_RF</t>
  </si>
  <si>
    <t>Tully24Win_B_RF</t>
  </si>
  <si>
    <t>Tully24Win_W103_RF</t>
  </si>
  <si>
    <t>Tully24Win_W313_RF</t>
  </si>
  <si>
    <t>StartBranching</t>
  </si>
  <si>
    <t>Kununurra24Sum_W313_80_IR_Dec</t>
  </si>
  <si>
    <t>Kununurra24Sum_W313_80_IR_Oct</t>
  </si>
  <si>
    <t>Kununurra24Sum_W3301_0_IR_Dec</t>
  </si>
  <si>
    <t>Kununurra24Sum_W3301_120_IR_Dec</t>
  </si>
  <si>
    <t>Kununurra24Sum_W3301_40_IR_Dec</t>
  </si>
  <si>
    <t>Kununurra24Sum_W3301_80_IR_Dec</t>
  </si>
  <si>
    <t>Kununurra24Sum_W3301_80_IR_Oct</t>
  </si>
  <si>
    <t>CurrentStageName</t>
  </si>
  <si>
    <t>DaysAfterSowing</t>
  </si>
  <si>
    <t>Population</t>
  </si>
  <si>
    <t>PopulationError</t>
  </si>
  <si>
    <t>AboveGroundWt</t>
  </si>
  <si>
    <t>AboveGroundWtError</t>
  </si>
  <si>
    <t>GrainWt</t>
  </si>
  <si>
    <t>GrainWtError</t>
  </si>
  <si>
    <t>BranchNumber</t>
  </si>
  <si>
    <t>Height</t>
  </si>
  <si>
    <t>CoverGreen</t>
  </si>
  <si>
    <t>LeafLiveWt</t>
  </si>
  <si>
    <t>StemLiveWt</t>
  </si>
  <si>
    <t>Sowing</t>
  </si>
  <si>
    <t>AGWRelativeError%</t>
  </si>
  <si>
    <t>GrnRelativeError%</t>
  </si>
  <si>
    <t>AboveGroundWtOrig</t>
  </si>
  <si>
    <t>GrainWtOrig</t>
  </si>
  <si>
    <t>PopRelativeError%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</si>
</sst>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yyyy\-mm\-dd;@"/>
    <numFmt numFmtId="166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164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2" borderId="0" xfId="0" applyFill="1" applyAlignment="1">
      <alignment horizontal="left" vertical="center"/>
    </xf>
    <xf numFmtId="2" fontId="1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65" fontId="0" fillId="0" borderId="0" xfId="0" applyNumberFormat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166" fontId="0" fillId="0" borderId="0" xfId="0" applyNumberFormat="1" applyAlignment="1">
      <alignment horizontal="left" vertical="center"/>
    </xf>
    <xf numFmtId="2" fontId="0" fillId="0" borderId="0" xfId="0" applyNumberFormat="1" applyAlignment="1">
      <alignment horizontal="left" vertical="center"/>
    </xf>
    <xf numFmtId="165" fontId="0" fillId="2" borderId="0" xfId="0" applyNumberForma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3" borderId="0" xfId="0" applyFill="1" applyAlignment="1">
      <alignment horizontal="left" vertical="center"/>
    </xf>
    <xf numFmtId="165" fontId="0" fillId="3" borderId="0" xfId="0" applyNumberFormat="1" applyFill="1" applyAlignment="1">
      <alignment horizontal="left" vertical="center"/>
    </xf>
    <xf numFmtId="164" fontId="0" fillId="2" borderId="0" xfId="0" applyNumberForma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2B3C1-BBAB-449C-BAE0-DBB067DF5460}">
  <dimension ref="A1:U146"/>
  <sheetViews>
    <sheetView tabSelected="1" zoomScale="80" zoomScaleNormal="80" workbookViewId="0">
      <pane ySplit="1" topLeftCell="A2" activePane="bottomLeft" state="frozen"/>
      <selection pane="bottomLeft" activeCell="A24" sqref="A24:XFD24"/>
    </sheetView>
  </sheetViews>
  <sheetFormatPr defaultColWidth="9.1796875" defaultRowHeight="14.5" x14ac:dyDescent="0.35"/>
  <cols>
    <col min="1" max="1" width="34.81640625" style="2" bestFit="1" customWidth="1"/>
    <col min="2" max="2" width="11.54296875" style="8" bestFit="1" customWidth="1"/>
    <col min="3" max="3" width="23.453125" style="2" bestFit="1" customWidth="1"/>
    <col min="4" max="4" width="16.26953125" style="2" bestFit="1" customWidth="1"/>
    <col min="5" max="5" width="10.7265625" style="2" bestFit="1" customWidth="1"/>
    <col min="6" max="6" width="15.1796875" style="2" bestFit="1" customWidth="1"/>
    <col min="7" max="7" width="20.7265625" style="9" customWidth="1"/>
    <col min="8" max="9" width="16.26953125" style="2" bestFit="1" customWidth="1"/>
    <col min="10" max="10" width="17.7265625" style="2" customWidth="1"/>
    <col min="11" max="11" width="20.7265625" style="9" customWidth="1"/>
    <col min="12" max="13" width="8.54296875" style="2" bestFit="1" customWidth="1"/>
    <col min="14" max="14" width="12.81640625" style="2" bestFit="1" customWidth="1"/>
    <col min="15" max="15" width="12.81640625" style="9" customWidth="1"/>
    <col min="16" max="16" width="14.453125" style="2" bestFit="1" customWidth="1"/>
    <col min="17" max="17" width="6.81640625" style="2" bestFit="1" customWidth="1"/>
    <col min="18" max="18" width="11.7265625" style="2" bestFit="1" customWidth="1"/>
    <col min="19" max="19" width="11" style="2" bestFit="1" customWidth="1"/>
    <col min="20" max="20" width="11.81640625" style="2" bestFit="1" customWidth="1"/>
    <col min="21" max="21" width="20.453125" style="2" bestFit="1" customWidth="1"/>
    <col min="22" max="16384" width="9.1796875" style="2"/>
  </cols>
  <sheetData>
    <row r="1" spans="1:21" x14ac:dyDescent="0.35">
      <c r="A1" s="4" t="s">
        <v>0</v>
      </c>
      <c r="B1" s="3" t="s">
        <v>1</v>
      </c>
      <c r="C1" s="3" t="s">
        <v>61</v>
      </c>
      <c r="D1" s="6" t="s">
        <v>62</v>
      </c>
      <c r="E1" s="6" t="s">
        <v>63</v>
      </c>
      <c r="F1" s="6" t="s">
        <v>64</v>
      </c>
      <c r="G1" s="3" t="s">
        <v>79</v>
      </c>
      <c r="H1" s="6" t="s">
        <v>65</v>
      </c>
      <c r="I1" s="6" t="s">
        <v>77</v>
      </c>
      <c r="J1" s="6" t="s">
        <v>66</v>
      </c>
      <c r="K1" s="3" t="s">
        <v>75</v>
      </c>
      <c r="L1" s="3" t="s">
        <v>67</v>
      </c>
      <c r="M1" s="3" t="s">
        <v>78</v>
      </c>
      <c r="N1" s="3" t="s">
        <v>68</v>
      </c>
      <c r="O1" s="3" t="s">
        <v>76</v>
      </c>
      <c r="P1" s="3" t="s">
        <v>69</v>
      </c>
      <c r="Q1" s="6" t="s">
        <v>70</v>
      </c>
      <c r="R1" s="4" t="s">
        <v>71</v>
      </c>
      <c r="S1" s="6" t="s">
        <v>72</v>
      </c>
      <c r="T1" s="6" t="s">
        <v>73</v>
      </c>
      <c r="U1" s="6" t="s">
        <v>2</v>
      </c>
    </row>
    <row r="2" spans="1:21" x14ac:dyDescent="0.35">
      <c r="A2" s="7" t="s">
        <v>16</v>
      </c>
      <c r="C2" s="1" t="s">
        <v>4</v>
      </c>
      <c r="D2" s="9">
        <v>5</v>
      </c>
      <c r="E2" s="9"/>
      <c r="F2" s="9"/>
      <c r="H2" s="9"/>
      <c r="I2" s="9"/>
      <c r="J2" s="9"/>
      <c r="R2" s="10"/>
      <c r="S2" s="11"/>
      <c r="T2" s="11"/>
      <c r="U2" s="11"/>
    </row>
    <row r="3" spans="1:21" x14ac:dyDescent="0.35">
      <c r="A3" s="7" t="s">
        <v>16</v>
      </c>
      <c r="C3" s="1" t="s">
        <v>6</v>
      </c>
      <c r="D3" s="9">
        <v>36</v>
      </c>
      <c r="E3" s="9"/>
      <c r="F3" s="9"/>
      <c r="H3" s="9"/>
      <c r="I3" s="9"/>
      <c r="J3" s="9"/>
      <c r="R3" s="10"/>
      <c r="S3" s="11"/>
      <c r="T3" s="11"/>
      <c r="U3" s="11"/>
    </row>
    <row r="4" spans="1:21" x14ac:dyDescent="0.35">
      <c r="A4" s="7" t="s">
        <v>16</v>
      </c>
      <c r="C4" s="1" t="s">
        <v>7</v>
      </c>
      <c r="D4" s="9">
        <v>43</v>
      </c>
      <c r="E4" s="9"/>
      <c r="F4" s="9"/>
      <c r="H4" s="9"/>
      <c r="I4" s="9"/>
      <c r="J4" s="9"/>
      <c r="R4" s="10"/>
      <c r="S4" s="11"/>
      <c r="T4" s="11"/>
      <c r="U4" s="11"/>
    </row>
    <row r="5" spans="1:21" x14ac:dyDescent="0.35">
      <c r="A5" s="7" t="s">
        <v>16</v>
      </c>
      <c r="C5" s="1" t="s">
        <v>3</v>
      </c>
      <c r="D5" s="9">
        <v>79</v>
      </c>
      <c r="E5" s="9"/>
      <c r="F5" s="9"/>
      <c r="H5" s="9">
        <v>73</v>
      </c>
      <c r="I5" s="9">
        <v>73</v>
      </c>
      <c r="J5" s="9"/>
      <c r="L5" s="2">
        <v>12.22</v>
      </c>
      <c r="M5" s="2">
        <v>12.22</v>
      </c>
      <c r="R5" s="10"/>
      <c r="S5" s="11"/>
      <c r="T5" s="11"/>
      <c r="U5" s="11"/>
    </row>
    <row r="6" spans="1:21" x14ac:dyDescent="0.35">
      <c r="A6" s="7" t="s">
        <v>13</v>
      </c>
      <c r="C6" s="1" t="s">
        <v>4</v>
      </c>
      <c r="D6" s="9">
        <v>4</v>
      </c>
      <c r="E6" s="9"/>
      <c r="F6" s="9"/>
      <c r="H6" s="9"/>
      <c r="I6" s="9"/>
      <c r="J6" s="9"/>
      <c r="R6" s="10"/>
      <c r="S6" s="11"/>
      <c r="T6" s="11"/>
      <c r="U6" s="11"/>
    </row>
    <row r="7" spans="1:21" x14ac:dyDescent="0.35">
      <c r="A7" s="7" t="s">
        <v>13</v>
      </c>
      <c r="C7" s="1" t="s">
        <v>6</v>
      </c>
      <c r="D7" s="9">
        <v>41</v>
      </c>
      <c r="E7" s="9"/>
      <c r="F7" s="9"/>
      <c r="H7" s="9"/>
      <c r="I7" s="9"/>
      <c r="J7" s="9"/>
      <c r="R7" s="10"/>
      <c r="S7" s="11"/>
      <c r="T7" s="11"/>
      <c r="U7" s="11"/>
    </row>
    <row r="8" spans="1:21" x14ac:dyDescent="0.35">
      <c r="A8" s="7" t="s">
        <v>13</v>
      </c>
      <c r="C8" s="1" t="s">
        <v>7</v>
      </c>
      <c r="D8" s="9">
        <v>51</v>
      </c>
      <c r="E8" s="9"/>
      <c r="F8" s="9"/>
      <c r="H8" s="9"/>
      <c r="I8" s="9"/>
      <c r="J8" s="9"/>
      <c r="R8" s="10"/>
      <c r="S8" s="11"/>
      <c r="T8" s="11"/>
      <c r="U8" s="11"/>
    </row>
    <row r="9" spans="1:21" x14ac:dyDescent="0.35">
      <c r="A9" s="7" t="s">
        <v>13</v>
      </c>
      <c r="C9" s="1" t="s">
        <v>3</v>
      </c>
      <c r="D9" s="9">
        <v>84</v>
      </c>
      <c r="E9" s="9"/>
      <c r="F9" s="9"/>
      <c r="H9" s="9">
        <v>172</v>
      </c>
      <c r="I9" s="9">
        <v>172</v>
      </c>
      <c r="J9" s="9"/>
      <c r="L9" s="2">
        <v>40.42</v>
      </c>
      <c r="M9" s="2">
        <v>40.42</v>
      </c>
      <c r="R9" s="10"/>
      <c r="S9" s="11"/>
      <c r="T9" s="11"/>
      <c r="U9" s="11"/>
    </row>
    <row r="10" spans="1:21" x14ac:dyDescent="0.35">
      <c r="A10" s="7" t="s">
        <v>14</v>
      </c>
      <c r="C10" s="1" t="s">
        <v>4</v>
      </c>
      <c r="D10" s="9">
        <v>4</v>
      </c>
      <c r="E10" s="9"/>
      <c r="F10" s="9"/>
      <c r="H10" s="9"/>
      <c r="I10" s="9"/>
      <c r="J10" s="9"/>
      <c r="R10" s="10"/>
      <c r="S10" s="11"/>
      <c r="T10" s="11"/>
      <c r="U10" s="11"/>
    </row>
    <row r="11" spans="1:21" x14ac:dyDescent="0.35">
      <c r="A11" s="7" t="s">
        <v>14</v>
      </c>
      <c r="C11" s="1" t="s">
        <v>6</v>
      </c>
      <c r="D11" s="9">
        <v>40</v>
      </c>
      <c r="E11" s="9"/>
      <c r="F11" s="9"/>
      <c r="H11" s="9"/>
      <c r="I11" s="9"/>
      <c r="J11" s="9"/>
      <c r="R11" s="10"/>
      <c r="S11" s="11"/>
      <c r="T11" s="11"/>
      <c r="U11" s="11"/>
    </row>
    <row r="12" spans="1:21" x14ac:dyDescent="0.35">
      <c r="A12" s="7" t="s">
        <v>14</v>
      </c>
      <c r="C12" s="1" t="s">
        <v>7</v>
      </c>
      <c r="D12" s="9">
        <v>50</v>
      </c>
      <c r="E12" s="9"/>
      <c r="F12" s="9"/>
      <c r="H12" s="9"/>
      <c r="I12" s="9"/>
      <c r="J12" s="9"/>
      <c r="R12" s="10"/>
      <c r="S12" s="11"/>
      <c r="T12" s="11"/>
      <c r="U12" s="11"/>
    </row>
    <row r="13" spans="1:21" x14ac:dyDescent="0.35">
      <c r="A13" s="7" t="s">
        <v>14</v>
      </c>
      <c r="C13" s="1" t="s">
        <v>3</v>
      </c>
      <c r="D13" s="9">
        <v>82</v>
      </c>
      <c r="E13" s="9"/>
      <c r="F13" s="9"/>
      <c r="H13" s="9">
        <v>165</v>
      </c>
      <c r="I13" s="9">
        <v>165</v>
      </c>
      <c r="J13" s="9"/>
      <c r="L13" s="2">
        <v>38.54</v>
      </c>
      <c r="M13" s="2">
        <v>38.54</v>
      </c>
      <c r="R13" s="10"/>
      <c r="S13" s="11"/>
      <c r="T13" s="11"/>
      <c r="U13" s="11"/>
    </row>
    <row r="14" spans="1:21" x14ac:dyDescent="0.35">
      <c r="A14" s="7" t="s">
        <v>15</v>
      </c>
      <c r="C14" s="1" t="s">
        <v>4</v>
      </c>
      <c r="D14" s="9">
        <v>5</v>
      </c>
      <c r="E14" s="9"/>
      <c r="F14" s="9"/>
      <c r="H14" s="9"/>
      <c r="I14" s="9"/>
      <c r="J14" s="9"/>
      <c r="R14" s="10"/>
      <c r="S14" s="11"/>
      <c r="T14" s="11"/>
      <c r="U14" s="11"/>
    </row>
    <row r="15" spans="1:21" x14ac:dyDescent="0.35">
      <c r="A15" s="7" t="s">
        <v>15</v>
      </c>
      <c r="C15" s="1" t="s">
        <v>6</v>
      </c>
      <c r="D15" s="9">
        <v>38</v>
      </c>
      <c r="E15" s="9"/>
      <c r="F15" s="9"/>
      <c r="H15" s="9"/>
      <c r="I15" s="9"/>
      <c r="J15" s="9"/>
      <c r="R15" s="10"/>
      <c r="S15" s="11"/>
      <c r="T15" s="11"/>
      <c r="U15" s="11"/>
    </row>
    <row r="16" spans="1:21" x14ac:dyDescent="0.35">
      <c r="A16" s="7" t="s">
        <v>15</v>
      </c>
      <c r="C16" s="1" t="s">
        <v>7</v>
      </c>
      <c r="D16" s="9">
        <v>47</v>
      </c>
      <c r="E16" s="9"/>
      <c r="F16" s="9"/>
      <c r="H16" s="9"/>
      <c r="I16" s="9"/>
      <c r="J16" s="9"/>
      <c r="R16" s="10"/>
      <c r="S16" s="11"/>
      <c r="T16" s="11"/>
      <c r="U16" s="11"/>
    </row>
    <row r="17" spans="1:21" x14ac:dyDescent="0.35">
      <c r="A17" s="7" t="s">
        <v>15</v>
      </c>
      <c r="C17" s="1" t="s">
        <v>3</v>
      </c>
      <c r="D17" s="9">
        <v>80</v>
      </c>
      <c r="E17" s="9"/>
      <c r="F17" s="9"/>
      <c r="H17" s="9">
        <v>116</v>
      </c>
      <c r="I17" s="9">
        <v>116</v>
      </c>
      <c r="J17" s="9"/>
      <c r="L17" s="2">
        <v>27.38</v>
      </c>
      <c r="M17" s="2">
        <v>27.38</v>
      </c>
      <c r="R17" s="10"/>
      <c r="S17" s="11"/>
      <c r="T17" s="11"/>
      <c r="U17" s="11"/>
    </row>
    <row r="18" spans="1:21" x14ac:dyDescent="0.35">
      <c r="A18" s="5" t="s">
        <v>20</v>
      </c>
      <c r="B18" s="12">
        <v>44980</v>
      </c>
      <c r="C18" s="5" t="s">
        <v>74</v>
      </c>
      <c r="D18" s="5">
        <v>0</v>
      </c>
      <c r="E18" s="5"/>
      <c r="F18" s="5"/>
      <c r="G18" s="17"/>
      <c r="H18" s="5"/>
      <c r="I18" s="5"/>
      <c r="J18" s="5"/>
      <c r="K18" s="17"/>
      <c r="L18" s="5"/>
      <c r="M18" s="5"/>
      <c r="N18" s="5"/>
      <c r="O18" s="17"/>
      <c r="P18" s="5"/>
      <c r="Q18" s="5"/>
      <c r="R18" s="5"/>
      <c r="S18" s="5"/>
      <c r="T18" s="5"/>
      <c r="U18" s="5"/>
    </row>
    <row r="19" spans="1:21" x14ac:dyDescent="0.35">
      <c r="A19" s="5" t="s">
        <v>20</v>
      </c>
      <c r="B19" s="12"/>
      <c r="C19" s="5" t="s">
        <v>6</v>
      </c>
      <c r="D19" s="5">
        <v>53</v>
      </c>
      <c r="E19" s="5"/>
      <c r="F19" s="5"/>
      <c r="G19" s="17"/>
      <c r="H19" s="5"/>
      <c r="I19" s="5"/>
      <c r="J19" s="5"/>
      <c r="K19" s="17"/>
      <c r="L19" s="5"/>
      <c r="M19" s="5"/>
      <c r="N19" s="5"/>
      <c r="O19" s="17"/>
      <c r="P19" s="5"/>
      <c r="Q19" s="5"/>
      <c r="R19" s="5"/>
      <c r="S19" s="5"/>
      <c r="T19" s="5"/>
      <c r="U19" s="5"/>
    </row>
    <row r="20" spans="1:21" x14ac:dyDescent="0.35">
      <c r="A20" s="5" t="s">
        <v>20</v>
      </c>
      <c r="B20" s="12"/>
      <c r="C20" s="5" t="s">
        <v>3</v>
      </c>
      <c r="D20" s="5">
        <v>173</v>
      </c>
      <c r="E20" s="5"/>
      <c r="F20" s="5"/>
      <c r="G20" s="17"/>
      <c r="H20" s="5"/>
      <c r="I20" s="5"/>
      <c r="J20" s="5"/>
      <c r="K20" s="17"/>
      <c r="L20" s="5"/>
      <c r="M20" s="5"/>
      <c r="N20" s="5"/>
      <c r="O20" s="17"/>
      <c r="P20" s="5"/>
      <c r="Q20" s="5"/>
      <c r="R20" s="5"/>
      <c r="S20" s="5"/>
      <c r="T20" s="5"/>
      <c r="U20" s="5"/>
    </row>
    <row r="21" spans="1:21" x14ac:dyDescent="0.35">
      <c r="A21" s="5" t="s">
        <v>20</v>
      </c>
      <c r="B21" s="12"/>
      <c r="C21" s="5" t="s">
        <v>19</v>
      </c>
      <c r="D21" s="13">
        <v>208</v>
      </c>
      <c r="E21" s="5">
        <v>11</v>
      </c>
      <c r="F21" s="5">
        <v>5</v>
      </c>
      <c r="G21" s="17">
        <f>F21*100/E21</f>
        <v>45.454545454545453</v>
      </c>
      <c r="H21" s="5">
        <v>408.5</v>
      </c>
      <c r="I21" s="5">
        <v>408.5</v>
      </c>
      <c r="J21" s="5">
        <v>113</v>
      </c>
      <c r="K21" s="17">
        <f>J21*100/I21</f>
        <v>27.66217870257038</v>
      </c>
      <c r="L21" s="5"/>
      <c r="M21" s="5">
        <v>33.1</v>
      </c>
      <c r="N21" s="5">
        <v>13.1</v>
      </c>
      <c r="O21" s="17">
        <f>N21*100/M21</f>
        <v>39.577039274924466</v>
      </c>
      <c r="P21" s="5">
        <v>3.1</v>
      </c>
      <c r="Q21" s="5">
        <v>92.3</v>
      </c>
      <c r="R21" s="5"/>
      <c r="S21" s="5"/>
      <c r="T21" s="5"/>
      <c r="U21" s="5"/>
    </row>
    <row r="22" spans="1:21" x14ac:dyDescent="0.35">
      <c r="A22" s="2" t="s">
        <v>31</v>
      </c>
      <c r="C22" s="2" t="s">
        <v>6</v>
      </c>
      <c r="D22" s="2">
        <v>46</v>
      </c>
    </row>
    <row r="23" spans="1:21" x14ac:dyDescent="0.35">
      <c r="A23" s="2" t="s">
        <v>31</v>
      </c>
      <c r="C23" s="2" t="s">
        <v>3</v>
      </c>
      <c r="D23" s="2">
        <v>137</v>
      </c>
    </row>
    <row r="24" spans="1:21" x14ac:dyDescent="0.35">
      <c r="A24" s="2" t="s">
        <v>31</v>
      </c>
      <c r="C24" s="2" t="s">
        <v>19</v>
      </c>
      <c r="D24" s="14">
        <v>208</v>
      </c>
      <c r="E24" s="2">
        <v>12.8</v>
      </c>
      <c r="F24" s="2">
        <v>7.5</v>
      </c>
      <c r="G24" s="17">
        <f>F24*100/E24</f>
        <v>58.59375</v>
      </c>
      <c r="I24" s="2">
        <v>455.6</v>
      </c>
      <c r="J24" s="2">
        <v>166</v>
      </c>
      <c r="K24" s="17">
        <f>J24*100/I24</f>
        <v>36.435469710272166</v>
      </c>
      <c r="L24" s="2">
        <v>48.2</v>
      </c>
      <c r="M24" s="2">
        <v>48.2</v>
      </c>
      <c r="N24" s="2">
        <v>20.8</v>
      </c>
      <c r="O24" s="17">
        <f>N24*100/M24</f>
        <v>43.153526970954353</v>
      </c>
      <c r="P24" s="2">
        <v>2.9</v>
      </c>
      <c r="Q24" s="2">
        <v>88</v>
      </c>
    </row>
    <row r="25" spans="1:21" x14ac:dyDescent="0.35">
      <c r="A25" s="2" t="s">
        <v>22</v>
      </c>
      <c r="B25" s="8">
        <v>45440</v>
      </c>
      <c r="C25" s="2" t="s">
        <v>19</v>
      </c>
      <c r="D25" s="2">
        <v>110</v>
      </c>
      <c r="E25" s="2">
        <v>10.3</v>
      </c>
      <c r="F25" s="2">
        <v>3.5</v>
      </c>
      <c r="G25" s="17">
        <f t="shared" ref="G25:G32" si="0">F25*100/E25</f>
        <v>33.980582524271846</v>
      </c>
      <c r="H25" s="2">
        <v>328</v>
      </c>
      <c r="I25" s="2">
        <v>328</v>
      </c>
      <c r="J25" s="2">
        <v>33.5</v>
      </c>
      <c r="K25" s="17">
        <f t="shared" ref="K25:K32" si="1">J25*100/I25</f>
        <v>10.213414634146341</v>
      </c>
      <c r="L25" s="2">
        <v>49.9</v>
      </c>
      <c r="M25" s="2">
        <v>49.9</v>
      </c>
      <c r="N25" s="2">
        <v>17.600000000000001</v>
      </c>
      <c r="O25" s="17">
        <f t="shared" ref="O25:O26" si="2">N25*100/M25</f>
        <v>35.270541082164335</v>
      </c>
      <c r="P25" s="2">
        <v>3.2</v>
      </c>
      <c r="Q25" s="2">
        <v>97.6</v>
      </c>
    </row>
    <row r="26" spans="1:21" s="15" customFormat="1" x14ac:dyDescent="0.35">
      <c r="A26" s="15" t="s">
        <v>21</v>
      </c>
      <c r="B26" s="16">
        <v>45399</v>
      </c>
      <c r="C26" s="15" t="s">
        <v>19</v>
      </c>
      <c r="D26" s="15">
        <v>100</v>
      </c>
      <c r="E26" s="15">
        <v>5.2</v>
      </c>
      <c r="F26" s="15">
        <v>2.25</v>
      </c>
      <c r="G26" s="17">
        <f t="shared" si="0"/>
        <v>43.269230769230766</v>
      </c>
      <c r="H26" s="15">
        <v>396.7</v>
      </c>
      <c r="I26" s="15">
        <v>396.7</v>
      </c>
      <c r="J26" s="15">
        <v>93</v>
      </c>
      <c r="K26" s="17">
        <f t="shared" si="1"/>
        <v>23.44340811696496</v>
      </c>
      <c r="L26" s="15">
        <v>77.400000000000006</v>
      </c>
      <c r="M26" s="15">
        <v>77.400000000000006</v>
      </c>
      <c r="N26" s="15">
        <v>13.5</v>
      </c>
      <c r="O26" s="17">
        <f t="shared" si="2"/>
        <v>17.441860465116278</v>
      </c>
      <c r="P26" s="15">
        <v>4.3</v>
      </c>
      <c r="Q26" s="15">
        <v>122.2</v>
      </c>
    </row>
    <row r="27" spans="1:21" x14ac:dyDescent="0.35">
      <c r="A27" s="2" t="s">
        <v>23</v>
      </c>
      <c r="C27" s="2" t="s">
        <v>12</v>
      </c>
      <c r="D27" s="2">
        <v>102</v>
      </c>
    </row>
    <row r="28" spans="1:21" x14ac:dyDescent="0.35">
      <c r="A28" s="2" t="s">
        <v>23</v>
      </c>
      <c r="B28" s="8">
        <v>45440</v>
      </c>
      <c r="C28" s="2" t="s">
        <v>19</v>
      </c>
      <c r="D28" s="2">
        <v>110</v>
      </c>
      <c r="E28" s="2">
        <v>13</v>
      </c>
      <c r="F28" s="2">
        <v>2</v>
      </c>
      <c r="G28" s="17">
        <f t="shared" si="0"/>
        <v>15.384615384615385</v>
      </c>
      <c r="H28" s="2">
        <v>255</v>
      </c>
      <c r="I28" s="2">
        <v>255</v>
      </c>
      <c r="J28" s="2">
        <v>1</v>
      </c>
      <c r="K28" s="17">
        <f t="shared" si="1"/>
        <v>0.39215686274509803</v>
      </c>
      <c r="L28" s="2">
        <v>43.3</v>
      </c>
      <c r="M28" s="2">
        <v>43.3</v>
      </c>
      <c r="N28" s="2">
        <v>1.8</v>
      </c>
      <c r="O28" s="17">
        <f>N28*100/M28</f>
        <v>4.1570438799076213</v>
      </c>
      <c r="P28" s="2">
        <v>3</v>
      </c>
      <c r="Q28" s="2">
        <v>78.400000000000006</v>
      </c>
    </row>
    <row r="29" spans="1:21" x14ac:dyDescent="0.35">
      <c r="A29" s="2" t="s">
        <v>33</v>
      </c>
      <c r="B29" s="8">
        <v>45440</v>
      </c>
      <c r="C29" s="2" t="s">
        <v>19</v>
      </c>
      <c r="D29" s="2">
        <v>110</v>
      </c>
      <c r="E29" s="2">
        <v>14.4</v>
      </c>
      <c r="F29" s="2">
        <v>2.5</v>
      </c>
      <c r="G29" s="17">
        <f t="shared" si="0"/>
        <v>17.361111111111111</v>
      </c>
      <c r="H29" s="2">
        <v>337</v>
      </c>
      <c r="I29" s="2">
        <v>337</v>
      </c>
      <c r="J29" s="2">
        <v>21.5</v>
      </c>
      <c r="K29" s="17">
        <f t="shared" si="1"/>
        <v>6.3798219584569731</v>
      </c>
      <c r="L29" s="2">
        <v>76.7</v>
      </c>
      <c r="M29" s="2">
        <v>76.7</v>
      </c>
      <c r="N29" s="2">
        <v>16.100000000000001</v>
      </c>
      <c r="O29" s="17">
        <f t="shared" ref="O29:O32" si="3">N29*100/M29</f>
        <v>20.990873533246418</v>
      </c>
      <c r="P29" s="2">
        <v>3.5</v>
      </c>
      <c r="Q29" s="2">
        <v>98.7</v>
      </c>
    </row>
    <row r="30" spans="1:21" x14ac:dyDescent="0.35">
      <c r="A30" s="2" t="s">
        <v>32</v>
      </c>
      <c r="B30" s="8">
        <v>45399</v>
      </c>
      <c r="C30" s="2" t="s">
        <v>19</v>
      </c>
      <c r="D30" s="2">
        <v>100</v>
      </c>
      <c r="E30" s="2">
        <v>4.8</v>
      </c>
      <c r="F30" s="2">
        <v>2</v>
      </c>
      <c r="G30" s="17">
        <f t="shared" si="0"/>
        <v>41.666666666666671</v>
      </c>
      <c r="H30" s="2">
        <v>319.7</v>
      </c>
      <c r="I30" s="2">
        <v>319.7</v>
      </c>
      <c r="J30" s="2">
        <v>46.5</v>
      </c>
      <c r="K30" s="17">
        <f t="shared" si="1"/>
        <v>14.544885830466063</v>
      </c>
      <c r="L30" s="2">
        <v>75.5</v>
      </c>
      <c r="M30" s="2">
        <v>75.5</v>
      </c>
      <c r="N30" s="2">
        <v>9.4</v>
      </c>
      <c r="O30" s="17">
        <f t="shared" si="3"/>
        <v>12.450331125827814</v>
      </c>
      <c r="P30" s="2">
        <v>4.2</v>
      </c>
      <c r="Q30" s="2">
        <v>102.9</v>
      </c>
    </row>
    <row r="31" spans="1:21" x14ac:dyDescent="0.35">
      <c r="A31" s="2" t="s">
        <v>35</v>
      </c>
      <c r="B31" s="8">
        <v>45440</v>
      </c>
      <c r="C31" s="2" t="s">
        <v>19</v>
      </c>
      <c r="D31" s="2">
        <v>110</v>
      </c>
      <c r="E31" s="2">
        <v>12.8</v>
      </c>
      <c r="F31" s="2">
        <v>0.75</v>
      </c>
      <c r="G31" s="17">
        <f t="shared" si="0"/>
        <v>5.859375</v>
      </c>
      <c r="H31" s="2">
        <v>196</v>
      </c>
      <c r="I31" s="2">
        <v>196</v>
      </c>
      <c r="J31" s="2">
        <v>52</v>
      </c>
      <c r="K31" s="17">
        <f t="shared" si="1"/>
        <v>26.530612244897959</v>
      </c>
      <c r="L31" s="2">
        <v>47.9</v>
      </c>
      <c r="M31" s="2">
        <v>47.9</v>
      </c>
      <c r="N31" s="2">
        <v>16.8</v>
      </c>
      <c r="O31" s="17">
        <f>N31*100/M31</f>
        <v>35.073068893528188</v>
      </c>
      <c r="P31" s="2">
        <v>4.5999999999999996</v>
      </c>
      <c r="Q31" s="2">
        <v>65.2</v>
      </c>
    </row>
    <row r="32" spans="1:21" x14ac:dyDescent="0.35">
      <c r="A32" s="2" t="s">
        <v>34</v>
      </c>
      <c r="B32" s="8">
        <v>45399</v>
      </c>
      <c r="C32" s="2" t="s">
        <v>19</v>
      </c>
      <c r="D32" s="2">
        <v>100</v>
      </c>
      <c r="E32" s="2">
        <v>3</v>
      </c>
      <c r="F32" s="2">
        <v>0</v>
      </c>
      <c r="G32" s="17">
        <f t="shared" si="0"/>
        <v>0</v>
      </c>
      <c r="H32" s="2">
        <v>288</v>
      </c>
      <c r="I32" s="2">
        <v>288</v>
      </c>
      <c r="J32" s="2">
        <v>0</v>
      </c>
      <c r="K32" s="17">
        <f t="shared" si="1"/>
        <v>0</v>
      </c>
      <c r="L32" s="2">
        <v>49.3</v>
      </c>
      <c r="M32" s="2">
        <v>49.3</v>
      </c>
      <c r="N32" s="2">
        <v>0</v>
      </c>
      <c r="O32" s="17">
        <f t="shared" si="3"/>
        <v>0</v>
      </c>
      <c r="P32" s="2">
        <v>5</v>
      </c>
      <c r="Q32" s="2">
        <v>82.6</v>
      </c>
    </row>
    <row r="33" spans="1:21" x14ac:dyDescent="0.35">
      <c r="A33" s="7" t="s">
        <v>17</v>
      </c>
      <c r="C33" s="1" t="s">
        <v>4</v>
      </c>
      <c r="D33" s="9">
        <v>7</v>
      </c>
      <c r="E33" s="9"/>
      <c r="F33" s="9"/>
      <c r="H33" s="9"/>
      <c r="I33" s="9"/>
      <c r="J33" s="9"/>
      <c r="R33" s="10"/>
      <c r="S33" s="11"/>
      <c r="T33" s="11"/>
      <c r="U33" s="11"/>
    </row>
    <row r="34" spans="1:21" x14ac:dyDescent="0.35">
      <c r="A34" s="7" t="s">
        <v>17</v>
      </c>
      <c r="C34" s="1" t="s">
        <v>6</v>
      </c>
      <c r="D34" s="2">
        <v>28</v>
      </c>
      <c r="H34" s="9"/>
      <c r="I34" s="9"/>
      <c r="J34" s="9"/>
      <c r="R34" s="10"/>
      <c r="S34" s="11"/>
      <c r="T34" s="11"/>
      <c r="U34" s="11"/>
    </row>
    <row r="35" spans="1:21" x14ac:dyDescent="0.35">
      <c r="A35" s="7" t="s">
        <v>17</v>
      </c>
      <c r="C35" s="1" t="s">
        <v>3</v>
      </c>
      <c r="D35" s="2">
        <v>113</v>
      </c>
      <c r="H35" s="9"/>
      <c r="I35" s="9"/>
      <c r="J35" s="9"/>
      <c r="R35" s="10"/>
      <c r="S35" s="11"/>
      <c r="T35" s="11"/>
      <c r="U35" s="11"/>
    </row>
    <row r="36" spans="1:21" x14ac:dyDescent="0.35">
      <c r="A36" s="7" t="s">
        <v>17</v>
      </c>
      <c r="B36" s="8">
        <v>43223</v>
      </c>
      <c r="H36" s="9"/>
      <c r="I36" s="9"/>
      <c r="J36" s="9"/>
      <c r="L36" s="2">
        <v>176.72</v>
      </c>
      <c r="M36" s="2">
        <v>176.72</v>
      </c>
      <c r="R36" s="10"/>
      <c r="S36" s="11"/>
      <c r="T36" s="11"/>
      <c r="U36" s="11"/>
    </row>
    <row r="37" spans="1:21" x14ac:dyDescent="0.35">
      <c r="A37" s="7" t="s">
        <v>17</v>
      </c>
      <c r="B37" s="8">
        <v>43138</v>
      </c>
      <c r="H37" s="9"/>
      <c r="I37" s="9"/>
      <c r="J37" s="9"/>
      <c r="Q37" s="2">
        <v>505</v>
      </c>
      <c r="R37" s="10"/>
      <c r="S37" s="11"/>
      <c r="T37" s="11"/>
      <c r="U37" s="11"/>
    </row>
    <row r="38" spans="1:21" x14ac:dyDescent="0.35">
      <c r="A38" s="7" t="s">
        <v>17</v>
      </c>
      <c r="B38" s="8">
        <v>43152</v>
      </c>
      <c r="H38" s="9"/>
      <c r="I38" s="9"/>
      <c r="J38" s="9"/>
      <c r="Q38" s="2">
        <v>927</v>
      </c>
      <c r="R38" s="10"/>
      <c r="S38" s="11"/>
      <c r="T38" s="11"/>
      <c r="U38" s="11"/>
    </row>
    <row r="39" spans="1:21" x14ac:dyDescent="0.35">
      <c r="A39" s="7" t="s">
        <v>17</v>
      </c>
      <c r="B39" s="8">
        <v>43159</v>
      </c>
      <c r="H39" s="9"/>
      <c r="I39" s="9"/>
      <c r="J39" s="9"/>
      <c r="Q39" s="2">
        <v>1212</v>
      </c>
      <c r="R39" s="10"/>
      <c r="S39" s="11"/>
      <c r="T39" s="11"/>
      <c r="U39" s="11"/>
    </row>
    <row r="40" spans="1:21" x14ac:dyDescent="0.35">
      <c r="A40" s="7" t="s">
        <v>17</v>
      </c>
      <c r="B40" s="8">
        <v>43165</v>
      </c>
      <c r="H40" s="9"/>
      <c r="I40" s="9"/>
      <c r="J40" s="9"/>
      <c r="Q40" s="2">
        <v>1300</v>
      </c>
      <c r="R40" s="10"/>
      <c r="S40" s="11"/>
      <c r="T40" s="11"/>
      <c r="U40" s="11"/>
    </row>
    <row r="41" spans="1:21" x14ac:dyDescent="0.35">
      <c r="A41" s="7" t="s">
        <v>17</v>
      </c>
      <c r="B41" s="8">
        <v>43203</v>
      </c>
      <c r="H41" s="9"/>
      <c r="I41" s="9"/>
      <c r="J41" s="9"/>
      <c r="Q41" s="2">
        <v>1330</v>
      </c>
      <c r="R41" s="10"/>
      <c r="S41" s="11"/>
      <c r="T41" s="11"/>
      <c r="U41" s="11"/>
    </row>
    <row r="42" spans="1:21" x14ac:dyDescent="0.35">
      <c r="A42" s="7" t="s">
        <v>17</v>
      </c>
      <c r="B42" s="8">
        <v>43223</v>
      </c>
      <c r="H42" s="9"/>
      <c r="I42" s="9"/>
      <c r="J42" s="9"/>
      <c r="Q42" s="2">
        <v>1325</v>
      </c>
      <c r="R42" s="10"/>
      <c r="S42" s="11"/>
      <c r="T42" s="11"/>
      <c r="U42" s="11"/>
    </row>
    <row r="43" spans="1:21" x14ac:dyDescent="0.35">
      <c r="A43" s="7" t="s">
        <v>17</v>
      </c>
      <c r="B43" s="8">
        <v>43203</v>
      </c>
      <c r="H43" s="9">
        <f>SUM(R43:T43)</f>
        <v>639.80000000000007</v>
      </c>
      <c r="I43" s="9">
        <f>SUM(S43:U43)</f>
        <v>1536.7</v>
      </c>
      <c r="J43" s="9"/>
      <c r="R43" s="10"/>
      <c r="S43" s="11">
        <v>94.7</v>
      </c>
      <c r="T43" s="11">
        <f>545.1</f>
        <v>545.1</v>
      </c>
      <c r="U43" s="11">
        <f>896.9</f>
        <v>896.9</v>
      </c>
    </row>
    <row r="44" spans="1:21" x14ac:dyDescent="0.35">
      <c r="A44" s="7" t="s">
        <v>17</v>
      </c>
      <c r="B44" s="8">
        <v>43223</v>
      </c>
      <c r="H44" s="9"/>
      <c r="I44" s="9"/>
      <c r="J44" s="9"/>
      <c r="L44" s="2">
        <v>188.75200000000001</v>
      </c>
      <c r="M44" s="2">
        <v>188.75200000000001</v>
      </c>
      <c r="R44" s="10"/>
      <c r="S44" s="11"/>
      <c r="T44" s="11"/>
      <c r="U44" s="11"/>
    </row>
    <row r="45" spans="1:21" x14ac:dyDescent="0.35">
      <c r="A45" s="7" t="s">
        <v>18</v>
      </c>
      <c r="C45" s="1" t="s">
        <v>4</v>
      </c>
      <c r="D45" s="9">
        <v>7</v>
      </c>
      <c r="E45" s="9"/>
      <c r="F45" s="9"/>
      <c r="H45" s="9"/>
      <c r="I45" s="9"/>
      <c r="J45" s="9"/>
      <c r="R45" s="10"/>
      <c r="S45" s="11"/>
      <c r="T45" s="11"/>
      <c r="U45" s="11"/>
    </row>
    <row r="46" spans="1:21" x14ac:dyDescent="0.35">
      <c r="A46" s="7" t="s">
        <v>18</v>
      </c>
      <c r="C46" s="1" t="s">
        <v>6</v>
      </c>
      <c r="D46" s="2">
        <v>28</v>
      </c>
      <c r="H46" s="9"/>
      <c r="I46" s="9"/>
      <c r="J46" s="9"/>
      <c r="R46" s="10"/>
      <c r="S46" s="11"/>
      <c r="T46" s="11"/>
      <c r="U46" s="11"/>
    </row>
    <row r="47" spans="1:21" x14ac:dyDescent="0.35">
      <c r="A47" s="7" t="s">
        <v>18</v>
      </c>
      <c r="C47" s="1" t="s">
        <v>3</v>
      </c>
      <c r="D47" s="2">
        <v>113</v>
      </c>
      <c r="H47" s="9"/>
      <c r="I47" s="9"/>
      <c r="J47" s="9"/>
      <c r="R47" s="10"/>
      <c r="S47" s="11"/>
      <c r="T47" s="11"/>
      <c r="U47" s="11"/>
    </row>
    <row r="48" spans="1:21" x14ac:dyDescent="0.35">
      <c r="A48" s="7" t="s">
        <v>18</v>
      </c>
      <c r="B48" s="8">
        <v>43223</v>
      </c>
      <c r="H48" s="9"/>
      <c r="I48" s="9"/>
      <c r="J48" s="9"/>
      <c r="L48" s="2">
        <v>176.72</v>
      </c>
      <c r="M48" s="2">
        <v>176.72</v>
      </c>
      <c r="R48" s="10"/>
      <c r="S48" s="11"/>
      <c r="T48" s="11"/>
      <c r="U48" s="11"/>
    </row>
    <row r="49" spans="1:21" x14ac:dyDescent="0.35">
      <c r="A49" s="7" t="s">
        <v>18</v>
      </c>
      <c r="B49" s="8">
        <v>43138</v>
      </c>
      <c r="H49" s="9"/>
      <c r="I49" s="9"/>
      <c r="J49" s="9"/>
      <c r="Q49" s="2">
        <v>512</v>
      </c>
      <c r="R49" s="10"/>
      <c r="S49" s="11"/>
      <c r="T49" s="11"/>
      <c r="U49" s="11"/>
    </row>
    <row r="50" spans="1:21" x14ac:dyDescent="0.35">
      <c r="A50" s="7" t="s">
        <v>18</v>
      </c>
      <c r="B50" s="8">
        <v>43152</v>
      </c>
      <c r="H50" s="9"/>
      <c r="I50" s="9"/>
      <c r="J50" s="9"/>
      <c r="Q50" s="2">
        <v>987</v>
      </c>
      <c r="R50" s="10"/>
      <c r="S50" s="11"/>
      <c r="T50" s="11"/>
      <c r="U50" s="11"/>
    </row>
    <row r="51" spans="1:21" x14ac:dyDescent="0.35">
      <c r="A51" s="7" t="s">
        <v>18</v>
      </c>
      <c r="B51" s="8">
        <v>43159</v>
      </c>
      <c r="H51" s="9"/>
      <c r="I51" s="9"/>
      <c r="J51" s="9"/>
      <c r="Q51" s="2">
        <v>1165</v>
      </c>
      <c r="R51" s="10"/>
      <c r="S51" s="11"/>
      <c r="T51" s="11"/>
      <c r="U51" s="11"/>
    </row>
    <row r="52" spans="1:21" x14ac:dyDescent="0.35">
      <c r="A52" s="7" t="s">
        <v>18</v>
      </c>
      <c r="B52" s="8">
        <v>43165</v>
      </c>
      <c r="H52" s="9"/>
      <c r="I52" s="9"/>
      <c r="J52" s="9"/>
      <c r="Q52" s="2">
        <v>1292</v>
      </c>
      <c r="R52" s="10"/>
      <c r="S52" s="11"/>
      <c r="T52" s="11"/>
      <c r="U52" s="11"/>
    </row>
    <row r="53" spans="1:21" s="5" customFormat="1" x14ac:dyDescent="0.35">
      <c r="A53" s="7" t="s">
        <v>18</v>
      </c>
      <c r="B53" s="8">
        <v>43203</v>
      </c>
      <c r="C53" s="2"/>
      <c r="D53" s="2"/>
      <c r="E53" s="2"/>
      <c r="F53" s="2"/>
      <c r="G53" s="9"/>
      <c r="H53" s="9"/>
      <c r="I53" s="9"/>
      <c r="J53" s="9"/>
      <c r="K53" s="9"/>
      <c r="L53" s="2"/>
      <c r="M53" s="2"/>
      <c r="N53" s="2"/>
      <c r="O53" s="9"/>
      <c r="P53" s="2"/>
      <c r="Q53" s="2">
        <v>1272</v>
      </c>
      <c r="R53" s="10"/>
      <c r="S53" s="11"/>
      <c r="T53" s="11"/>
      <c r="U53" s="11"/>
    </row>
    <row r="54" spans="1:21" x14ac:dyDescent="0.35">
      <c r="A54" s="7" t="s">
        <v>18</v>
      </c>
      <c r="B54" s="8">
        <v>43223</v>
      </c>
      <c r="H54" s="9"/>
      <c r="I54" s="9"/>
      <c r="J54" s="9"/>
      <c r="Q54" s="2">
        <v>1242</v>
      </c>
      <c r="R54" s="10"/>
      <c r="S54" s="11"/>
      <c r="T54" s="11"/>
      <c r="U54" s="11"/>
    </row>
    <row r="55" spans="1:21" x14ac:dyDescent="0.35">
      <c r="A55" s="7" t="s">
        <v>18</v>
      </c>
      <c r="B55" s="8">
        <v>43203</v>
      </c>
      <c r="H55" s="9">
        <f>SUM(R55:T55)</f>
        <v>700.9</v>
      </c>
      <c r="I55" s="9">
        <f>SUM(S55:U55)</f>
        <v>1763.1</v>
      </c>
      <c r="J55" s="9"/>
      <c r="R55" s="10"/>
      <c r="S55" s="11">
        <v>101.9</v>
      </c>
      <c r="T55" s="11">
        <f>599</f>
        <v>599</v>
      </c>
      <c r="U55" s="11">
        <f>1062.2</f>
        <v>1062.2</v>
      </c>
    </row>
    <row r="56" spans="1:21" x14ac:dyDescent="0.35">
      <c r="A56" s="7" t="s">
        <v>18</v>
      </c>
      <c r="B56" s="8">
        <v>43223</v>
      </c>
      <c r="H56" s="9"/>
      <c r="I56" s="9"/>
      <c r="J56" s="9"/>
      <c r="L56" s="2">
        <v>175.404</v>
      </c>
      <c r="M56" s="2">
        <v>175.404</v>
      </c>
      <c r="R56" s="10"/>
      <c r="S56" s="11"/>
      <c r="T56" s="11"/>
      <c r="U56" s="11"/>
    </row>
    <row r="57" spans="1:21" x14ac:dyDescent="0.35">
      <c r="A57" s="2" t="s">
        <v>29</v>
      </c>
      <c r="C57" s="2" t="s">
        <v>6</v>
      </c>
      <c r="D57" s="2">
        <v>38.9</v>
      </c>
    </row>
    <row r="58" spans="1:21" x14ac:dyDescent="0.35">
      <c r="A58" s="2" t="s">
        <v>29</v>
      </c>
      <c r="C58" s="2" t="s">
        <v>3</v>
      </c>
      <c r="D58" s="2">
        <v>111</v>
      </c>
    </row>
    <row r="59" spans="1:21" x14ac:dyDescent="0.35">
      <c r="A59" s="2" t="s">
        <v>29</v>
      </c>
      <c r="B59" s="8">
        <v>45119</v>
      </c>
      <c r="C59" s="2" t="s">
        <v>19</v>
      </c>
      <c r="D59" s="2">
        <v>147</v>
      </c>
      <c r="E59" s="2">
        <v>21.7</v>
      </c>
      <c r="F59" s="2">
        <v>9.3000000000000007</v>
      </c>
      <c r="G59" s="17">
        <f t="shared" ref="G59" si="4">F59*100/E59</f>
        <v>42.857142857142861</v>
      </c>
      <c r="I59" s="2">
        <v>211</v>
      </c>
      <c r="J59" s="2">
        <v>75</v>
      </c>
      <c r="K59" s="17">
        <f t="shared" ref="K59" si="5">J59*100/I59</f>
        <v>35.545023696682463</v>
      </c>
      <c r="L59" s="2">
        <v>45.8</v>
      </c>
      <c r="M59" s="2">
        <v>45.8</v>
      </c>
      <c r="N59" s="2">
        <v>15.3</v>
      </c>
      <c r="O59" s="17">
        <f t="shared" ref="O59" si="6">N59*100/M59</f>
        <v>33.406113537117903</v>
      </c>
      <c r="P59" s="2">
        <v>3.6</v>
      </c>
      <c r="Q59" s="2">
        <v>54</v>
      </c>
    </row>
    <row r="60" spans="1:21" x14ac:dyDescent="0.35">
      <c r="A60" s="2" t="s">
        <v>36</v>
      </c>
      <c r="C60" s="2" t="s">
        <v>6</v>
      </c>
      <c r="D60" s="2">
        <v>34.4</v>
      </c>
    </row>
    <row r="61" spans="1:21" x14ac:dyDescent="0.35">
      <c r="A61" s="2" t="s">
        <v>36</v>
      </c>
      <c r="C61" s="2" t="s">
        <v>3</v>
      </c>
      <c r="D61" s="2">
        <v>111</v>
      </c>
    </row>
    <row r="62" spans="1:21" x14ac:dyDescent="0.35">
      <c r="A62" s="2" t="s">
        <v>36</v>
      </c>
      <c r="B62" s="8">
        <v>45091</v>
      </c>
      <c r="C62" s="2" t="s">
        <v>19</v>
      </c>
      <c r="D62" s="2">
        <v>119</v>
      </c>
      <c r="E62" s="2">
        <v>24.1</v>
      </c>
      <c r="F62" s="2">
        <v>11.7</v>
      </c>
      <c r="G62" s="17">
        <f t="shared" ref="G62" si="7">F62*100/E62</f>
        <v>48.54771784232365</v>
      </c>
      <c r="I62" s="2">
        <v>267</v>
      </c>
      <c r="J62" s="2">
        <v>191</v>
      </c>
      <c r="K62" s="17">
        <f t="shared" ref="K62" si="8">J62*100/I62</f>
        <v>71.535580524344567</v>
      </c>
      <c r="M62" s="2">
        <v>63.6</v>
      </c>
      <c r="N62" s="2">
        <v>30.9</v>
      </c>
      <c r="O62" s="17">
        <f t="shared" ref="O62" si="9">N62*100/M62</f>
        <v>48.584905660377359</v>
      </c>
      <c r="P62" s="2">
        <v>3.2</v>
      </c>
      <c r="Q62" s="2">
        <v>58.6</v>
      </c>
    </row>
    <row r="63" spans="1:21" x14ac:dyDescent="0.35">
      <c r="A63" s="2" t="s">
        <v>30</v>
      </c>
      <c r="C63" s="2" t="s">
        <v>6</v>
      </c>
      <c r="D63" s="2">
        <v>53.5</v>
      </c>
    </row>
    <row r="64" spans="1:21" x14ac:dyDescent="0.35">
      <c r="A64" s="2" t="s">
        <v>30</v>
      </c>
      <c r="C64" s="2" t="s">
        <v>3</v>
      </c>
      <c r="D64" s="2">
        <v>154</v>
      </c>
    </row>
    <row r="65" spans="1:17" x14ac:dyDescent="0.35">
      <c r="A65" s="2" t="s">
        <v>30</v>
      </c>
      <c r="B65" s="8">
        <v>45264</v>
      </c>
      <c r="C65" s="2" t="s">
        <v>19</v>
      </c>
      <c r="D65" s="2">
        <v>171</v>
      </c>
      <c r="E65" s="2">
        <v>10.8</v>
      </c>
      <c r="F65" s="2">
        <v>4.5</v>
      </c>
      <c r="G65" s="17">
        <f t="shared" ref="G65" si="10">F65*100/E65</f>
        <v>41.666666666666664</v>
      </c>
      <c r="H65" s="2">
        <v>435</v>
      </c>
      <c r="I65" s="2">
        <v>435</v>
      </c>
      <c r="J65" s="2">
        <v>135</v>
      </c>
      <c r="K65" s="17">
        <f t="shared" ref="K65" si="11">J65*100/I65</f>
        <v>31.03448275862069</v>
      </c>
      <c r="M65" s="2">
        <v>67.099999999999994</v>
      </c>
      <c r="N65" s="2">
        <v>31.4</v>
      </c>
      <c r="O65" s="17">
        <f t="shared" ref="O65" si="12">N65*100/M65</f>
        <v>46.795827123695979</v>
      </c>
      <c r="P65" s="2">
        <v>6</v>
      </c>
      <c r="Q65" s="2">
        <v>98</v>
      </c>
    </row>
    <row r="66" spans="1:17" x14ac:dyDescent="0.35">
      <c r="A66" s="2" t="s">
        <v>37</v>
      </c>
      <c r="C66" s="2" t="s">
        <v>6</v>
      </c>
      <c r="D66" s="2">
        <v>54.1</v>
      </c>
    </row>
    <row r="67" spans="1:17" x14ac:dyDescent="0.35">
      <c r="A67" s="2" t="s">
        <v>37</v>
      </c>
      <c r="C67" s="2" t="s">
        <v>3</v>
      </c>
      <c r="D67" s="2">
        <v>148</v>
      </c>
    </row>
    <row r="68" spans="1:17" x14ac:dyDescent="0.35">
      <c r="A68" s="2" t="s">
        <v>37</v>
      </c>
      <c r="B68" s="8">
        <v>45264</v>
      </c>
      <c r="C68" s="2" t="s">
        <v>19</v>
      </c>
      <c r="D68" s="2">
        <v>171</v>
      </c>
      <c r="E68" s="2">
        <v>10.4</v>
      </c>
      <c r="F68" s="2">
        <v>4.5</v>
      </c>
      <c r="G68" s="17">
        <f t="shared" ref="G68" si="13">F68*100/E68</f>
        <v>43.269230769230766</v>
      </c>
      <c r="H68" s="2">
        <v>427.5</v>
      </c>
      <c r="I68" s="2">
        <v>427.5</v>
      </c>
      <c r="J68" s="2">
        <v>120</v>
      </c>
      <c r="K68" s="17">
        <f t="shared" ref="K68" si="14">J68*100/I68</f>
        <v>28.07017543859649</v>
      </c>
      <c r="M68" s="2">
        <v>57.9</v>
      </c>
      <c r="N68" s="2">
        <v>31.6</v>
      </c>
      <c r="O68" s="17">
        <f t="shared" ref="O68" si="15">N68*100/M68</f>
        <v>54.576856649395509</v>
      </c>
      <c r="P68" s="2">
        <v>5.9</v>
      </c>
      <c r="Q68" s="2">
        <v>99.1</v>
      </c>
    </row>
    <row r="69" spans="1:17" s="5" customFormat="1" x14ac:dyDescent="0.35">
      <c r="A69" s="5" t="s">
        <v>39</v>
      </c>
      <c r="B69" s="12"/>
      <c r="C69" s="5" t="s">
        <v>6</v>
      </c>
      <c r="D69" s="5">
        <v>90</v>
      </c>
      <c r="G69" s="17"/>
      <c r="K69" s="17"/>
      <c r="O69" s="17"/>
    </row>
    <row r="70" spans="1:17" s="5" customFormat="1" x14ac:dyDescent="0.35">
      <c r="A70" s="5" t="s">
        <v>39</v>
      </c>
      <c r="B70" s="12"/>
      <c r="C70" s="5" t="s">
        <v>3</v>
      </c>
      <c r="D70" s="5">
        <v>170</v>
      </c>
      <c r="G70" s="17"/>
      <c r="K70" s="17"/>
      <c r="O70" s="17"/>
    </row>
    <row r="71" spans="1:17" s="5" customFormat="1" x14ac:dyDescent="0.35">
      <c r="A71" s="5" t="s">
        <v>39</v>
      </c>
      <c r="B71" s="12">
        <v>45526</v>
      </c>
      <c r="C71" s="5" t="s">
        <v>19</v>
      </c>
      <c r="D71" s="5">
        <v>177</v>
      </c>
      <c r="E71" s="5">
        <v>8.6999999999999993</v>
      </c>
      <c r="F71" s="5">
        <v>3.85</v>
      </c>
      <c r="G71" s="17">
        <f t="shared" ref="G71" si="16">F71*100/E71</f>
        <v>44.252873563218394</v>
      </c>
      <c r="I71" s="5">
        <v>506.5</v>
      </c>
      <c r="J71" s="5">
        <v>247.5</v>
      </c>
      <c r="K71" s="17">
        <f t="shared" ref="K71" si="17">J71*100/I71</f>
        <v>48.864758144126355</v>
      </c>
      <c r="L71" s="5">
        <v>37.799999999999997</v>
      </c>
      <c r="M71" s="5">
        <v>37.799999999999997</v>
      </c>
      <c r="N71" s="5">
        <v>7.8</v>
      </c>
      <c r="O71" s="17">
        <f t="shared" ref="O71" si="18">N71*100/M71</f>
        <v>20.634920634920636</v>
      </c>
      <c r="P71" s="5">
        <v>3.4</v>
      </c>
      <c r="Q71" s="5">
        <v>811.1</v>
      </c>
    </row>
    <row r="72" spans="1:17" x14ac:dyDescent="0.35">
      <c r="A72" s="2" t="s">
        <v>41</v>
      </c>
      <c r="C72" s="2" t="s">
        <v>53</v>
      </c>
      <c r="D72" s="2">
        <v>49</v>
      </c>
    </row>
    <row r="73" spans="1:17" x14ac:dyDescent="0.35">
      <c r="A73" s="2" t="s">
        <v>41</v>
      </c>
      <c r="C73" s="2" t="s">
        <v>6</v>
      </c>
      <c r="D73" s="2">
        <v>91</v>
      </c>
    </row>
    <row r="74" spans="1:17" x14ac:dyDescent="0.35">
      <c r="A74" s="2" t="s">
        <v>41</v>
      </c>
      <c r="C74" s="2" t="s">
        <v>3</v>
      </c>
      <c r="D74" s="2">
        <v>160</v>
      </c>
    </row>
    <row r="75" spans="1:17" x14ac:dyDescent="0.35">
      <c r="A75" s="2" t="s">
        <v>41</v>
      </c>
      <c r="B75" s="8">
        <v>45601</v>
      </c>
      <c r="C75" s="2" t="s">
        <v>19</v>
      </c>
      <c r="D75" s="2">
        <v>181</v>
      </c>
      <c r="E75" s="2">
        <v>5.6</v>
      </c>
      <c r="F75" s="2">
        <v>2.4700000000000002</v>
      </c>
      <c r="G75" s="17">
        <f t="shared" ref="G75" si="19">F75*100/E75</f>
        <v>44.107142857142868</v>
      </c>
      <c r="H75" s="2">
        <v>192.5</v>
      </c>
      <c r="I75" s="2">
        <v>192.5</v>
      </c>
      <c r="J75" s="2">
        <v>55</v>
      </c>
      <c r="K75" s="17">
        <f t="shared" ref="K75" si="20">J75*100/I75</f>
        <v>28.571428571428573</v>
      </c>
      <c r="L75" s="2">
        <v>17</v>
      </c>
      <c r="M75" s="2">
        <v>17</v>
      </c>
      <c r="N75" s="2">
        <v>8.1999999999999993</v>
      </c>
      <c r="O75" s="17">
        <f t="shared" ref="O75" si="21">N75*100/M75</f>
        <v>48.235294117647051</v>
      </c>
      <c r="P75" s="2">
        <v>3.3</v>
      </c>
      <c r="Q75" s="2">
        <v>828.8</v>
      </c>
    </row>
    <row r="76" spans="1:17" x14ac:dyDescent="0.35">
      <c r="A76" s="2" t="s">
        <v>38</v>
      </c>
      <c r="C76" s="2" t="s">
        <v>6</v>
      </c>
      <c r="D76" s="2">
        <v>79</v>
      </c>
    </row>
    <row r="77" spans="1:17" x14ac:dyDescent="0.35">
      <c r="A77" s="2" t="s">
        <v>38</v>
      </c>
      <c r="C77" s="2" t="s">
        <v>3</v>
      </c>
      <c r="D77" s="2">
        <v>170</v>
      </c>
    </row>
    <row r="78" spans="1:17" x14ac:dyDescent="0.35">
      <c r="A78" s="2" t="s">
        <v>38</v>
      </c>
      <c r="B78" s="8">
        <v>45526</v>
      </c>
      <c r="C78" s="2" t="s">
        <v>19</v>
      </c>
      <c r="D78" s="2">
        <v>177</v>
      </c>
      <c r="E78" s="2">
        <v>9.1999999999999993</v>
      </c>
      <c r="F78" s="2">
        <v>7.15</v>
      </c>
      <c r="G78" s="17">
        <f t="shared" ref="G78" si="22">F78*100/E78</f>
        <v>77.717391304347828</v>
      </c>
      <c r="I78" s="2">
        <v>270.39999999999998</v>
      </c>
      <c r="J78" s="2">
        <v>220</v>
      </c>
      <c r="K78" s="17">
        <f t="shared" ref="K78" si="23">J78*100/I78</f>
        <v>81.360946745562131</v>
      </c>
      <c r="L78" s="2">
        <v>46.7</v>
      </c>
      <c r="M78" s="2">
        <v>46.7</v>
      </c>
      <c r="N78" s="2">
        <v>25.8</v>
      </c>
      <c r="O78" s="17">
        <f t="shared" ref="O78" si="24">N78*100/M78</f>
        <v>55.246252676659523</v>
      </c>
      <c r="P78" s="2">
        <v>3.3</v>
      </c>
      <c r="Q78" s="2">
        <v>890</v>
      </c>
    </row>
    <row r="79" spans="1:17" x14ac:dyDescent="0.35">
      <c r="A79" s="2" t="s">
        <v>40</v>
      </c>
      <c r="C79" s="2" t="s">
        <v>53</v>
      </c>
      <c r="D79" s="2">
        <v>49</v>
      </c>
    </row>
    <row r="80" spans="1:17" x14ac:dyDescent="0.35">
      <c r="A80" s="2" t="s">
        <v>40</v>
      </c>
      <c r="C80" s="2" t="s">
        <v>6</v>
      </c>
      <c r="D80" s="2">
        <v>68</v>
      </c>
    </row>
    <row r="81" spans="1:21" x14ac:dyDescent="0.35">
      <c r="A81" s="2" t="s">
        <v>40</v>
      </c>
      <c r="C81" s="2" t="s">
        <v>3</v>
      </c>
      <c r="D81" s="2">
        <v>160</v>
      </c>
    </row>
    <row r="82" spans="1:21" x14ac:dyDescent="0.35">
      <c r="A82" s="2" t="s">
        <v>40</v>
      </c>
      <c r="B82" s="8">
        <v>45601</v>
      </c>
      <c r="C82" s="2" t="s">
        <v>19</v>
      </c>
      <c r="D82" s="2">
        <v>181</v>
      </c>
      <c r="E82" s="2">
        <v>12.3</v>
      </c>
      <c r="F82" s="2">
        <v>8.8000000000000007</v>
      </c>
      <c r="G82" s="17">
        <f t="shared" ref="G82" si="25">F82*100/E82</f>
        <v>71.544715447154474</v>
      </c>
      <c r="H82" s="2">
        <v>216.6</v>
      </c>
      <c r="I82" s="2">
        <v>216.6</v>
      </c>
      <c r="J82" s="2">
        <v>55</v>
      </c>
      <c r="K82" s="17">
        <f t="shared" ref="K82" si="26">J82*100/I82</f>
        <v>25.392428439519854</v>
      </c>
      <c r="L82" s="2">
        <v>29.1</v>
      </c>
      <c r="M82" s="2">
        <v>29.1</v>
      </c>
      <c r="N82" s="2">
        <v>9</v>
      </c>
      <c r="O82" s="17">
        <f t="shared" ref="O82" si="27">N82*100/M82</f>
        <v>30.927835051546392</v>
      </c>
      <c r="P82" s="2">
        <v>3.3</v>
      </c>
      <c r="Q82" s="2">
        <v>812</v>
      </c>
    </row>
    <row r="83" spans="1:21" x14ac:dyDescent="0.35">
      <c r="A83" s="2" t="s">
        <v>42</v>
      </c>
      <c r="C83" s="2" t="s">
        <v>53</v>
      </c>
      <c r="D83" s="2">
        <v>49</v>
      </c>
    </row>
    <row r="84" spans="1:21" x14ac:dyDescent="0.35">
      <c r="A84" s="2" t="s">
        <v>42</v>
      </c>
      <c r="C84" s="2" t="s">
        <v>6</v>
      </c>
      <c r="D84" s="2">
        <v>55</v>
      </c>
    </row>
    <row r="85" spans="1:21" x14ac:dyDescent="0.35">
      <c r="A85" s="2" t="s">
        <v>42</v>
      </c>
      <c r="C85" s="2" t="s">
        <v>3</v>
      </c>
      <c r="D85" s="2">
        <v>149</v>
      </c>
    </row>
    <row r="86" spans="1:21" x14ac:dyDescent="0.35">
      <c r="A86" s="2" t="s">
        <v>42</v>
      </c>
      <c r="B86" s="8">
        <v>45582</v>
      </c>
      <c r="C86" s="2" t="s">
        <v>19</v>
      </c>
      <c r="D86" s="2">
        <v>162</v>
      </c>
      <c r="E86" s="2">
        <v>12.7</v>
      </c>
      <c r="F86" s="2">
        <v>5.22</v>
      </c>
      <c r="G86" s="17">
        <f t="shared" ref="G86" si="28">F86*100/E86</f>
        <v>41.102362204724415</v>
      </c>
      <c r="I86" s="2">
        <v>276.8</v>
      </c>
      <c r="J86" s="2">
        <v>140.6</v>
      </c>
      <c r="K86" s="17">
        <f t="shared" ref="K86" si="29">J86*100/I86</f>
        <v>50.794797687861269</v>
      </c>
      <c r="L86" s="2">
        <v>19.7</v>
      </c>
      <c r="M86" s="2">
        <v>19.7</v>
      </c>
      <c r="N86" s="2">
        <v>6.1</v>
      </c>
      <c r="O86" s="17">
        <f t="shared" ref="O86" si="30">N86*100/M86</f>
        <v>30.964467005076145</v>
      </c>
      <c r="P86" s="2">
        <v>1.7</v>
      </c>
      <c r="Q86" s="2">
        <v>795.6</v>
      </c>
    </row>
    <row r="87" spans="1:21" x14ac:dyDescent="0.35">
      <c r="A87" s="2" t="s">
        <v>44</v>
      </c>
      <c r="C87" s="2" t="s">
        <v>6</v>
      </c>
      <c r="D87" s="2">
        <v>69</v>
      </c>
    </row>
    <row r="88" spans="1:21" x14ac:dyDescent="0.35">
      <c r="A88" s="2" t="s">
        <v>44</v>
      </c>
      <c r="C88" s="2" t="s">
        <v>3</v>
      </c>
      <c r="D88" s="2">
        <v>161</v>
      </c>
    </row>
    <row r="89" spans="1:21" x14ac:dyDescent="0.35">
      <c r="A89" s="2" t="s">
        <v>44</v>
      </c>
      <c r="B89" s="8">
        <v>45231</v>
      </c>
      <c r="C89" s="2" t="s">
        <v>19</v>
      </c>
      <c r="D89" s="2">
        <v>167</v>
      </c>
      <c r="E89" s="2">
        <v>10.199999999999999</v>
      </c>
      <c r="F89" s="2">
        <v>5.42</v>
      </c>
      <c r="G89" s="17">
        <f t="shared" ref="G89" si="31">F89*100/E89</f>
        <v>53.137254901960787</v>
      </c>
      <c r="H89" s="2">
        <v>559.1</v>
      </c>
      <c r="I89" s="2">
        <v>559.1</v>
      </c>
      <c r="J89" s="2">
        <v>37.6</v>
      </c>
      <c r="K89" s="17">
        <f t="shared" ref="K89" si="32">J89*100/I89</f>
        <v>6.7250939009121797</v>
      </c>
      <c r="L89" s="2">
        <v>97.6</v>
      </c>
      <c r="M89" s="2">
        <v>97.6</v>
      </c>
      <c r="N89" s="2">
        <v>18</v>
      </c>
      <c r="O89" s="17">
        <f t="shared" ref="O89" si="33">N89*100/M89</f>
        <v>18.442622950819672</v>
      </c>
      <c r="P89" s="2">
        <v>4.3</v>
      </c>
      <c r="Q89" s="2">
        <v>121.6</v>
      </c>
    </row>
    <row r="90" spans="1:21" x14ac:dyDescent="0.35">
      <c r="A90" s="2" t="s">
        <v>43</v>
      </c>
      <c r="C90" s="2" t="s">
        <v>6</v>
      </c>
      <c r="D90" s="2">
        <v>63</v>
      </c>
    </row>
    <row r="91" spans="1:21" x14ac:dyDescent="0.35">
      <c r="A91" s="2" t="s">
        <v>43</v>
      </c>
      <c r="C91" s="2" t="s">
        <v>3</v>
      </c>
      <c r="D91" s="2">
        <v>136</v>
      </c>
    </row>
    <row r="92" spans="1:21" x14ac:dyDescent="0.35">
      <c r="A92" s="2" t="s">
        <v>43</v>
      </c>
      <c r="B92" s="8">
        <v>45217</v>
      </c>
      <c r="C92" s="2" t="s">
        <v>19</v>
      </c>
      <c r="D92" s="2">
        <v>153</v>
      </c>
      <c r="E92" s="2">
        <v>5.0999999999999996</v>
      </c>
      <c r="F92" s="2">
        <v>3.06</v>
      </c>
      <c r="G92" s="17">
        <f t="shared" ref="G92" si="34">F92*100/E92</f>
        <v>60.000000000000007</v>
      </c>
      <c r="H92" s="2">
        <v>553.6</v>
      </c>
      <c r="I92" s="2">
        <v>553.6</v>
      </c>
      <c r="J92" s="2">
        <v>122</v>
      </c>
      <c r="K92" s="17">
        <f t="shared" ref="K92" si="35">J92*100/I92</f>
        <v>22.037572254335259</v>
      </c>
      <c r="L92" s="2">
        <v>71</v>
      </c>
      <c r="M92" s="2">
        <v>71</v>
      </c>
      <c r="N92" s="2">
        <v>26</v>
      </c>
      <c r="O92" s="17">
        <f t="shared" ref="O92" si="36">N92*100/M92</f>
        <v>36.619718309859152</v>
      </c>
      <c r="P92" s="2">
        <v>7.3</v>
      </c>
      <c r="Q92" s="2">
        <v>116.1</v>
      </c>
    </row>
    <row r="93" spans="1:21" x14ac:dyDescent="0.35">
      <c r="A93" s="2" t="s">
        <v>54</v>
      </c>
      <c r="C93" s="2" t="s">
        <v>6</v>
      </c>
      <c r="D93" s="2">
        <v>25</v>
      </c>
    </row>
    <row r="94" spans="1:21" s="5" customFormat="1" x14ac:dyDescent="0.35">
      <c r="A94" s="2" t="s">
        <v>54</v>
      </c>
      <c r="B94" s="8"/>
      <c r="C94" s="2" t="s">
        <v>3</v>
      </c>
      <c r="D94" s="2">
        <v>78</v>
      </c>
      <c r="E94" s="2"/>
      <c r="F94" s="2"/>
      <c r="G94" s="9"/>
      <c r="H94" s="2"/>
      <c r="I94" s="2"/>
      <c r="J94" s="2"/>
      <c r="K94" s="9"/>
      <c r="L94" s="2"/>
      <c r="M94" s="2"/>
      <c r="N94" s="2"/>
      <c r="O94" s="9"/>
      <c r="P94" s="2"/>
      <c r="Q94" s="2"/>
      <c r="R94" s="2"/>
      <c r="S94" s="2"/>
      <c r="T94" s="2"/>
      <c r="U94" s="2"/>
    </row>
    <row r="95" spans="1:21" x14ac:dyDescent="0.35">
      <c r="A95" s="2" t="s">
        <v>54</v>
      </c>
      <c r="B95" s="8">
        <v>45726</v>
      </c>
      <c r="C95" s="2" t="s">
        <v>19</v>
      </c>
      <c r="D95" s="2">
        <v>88</v>
      </c>
      <c r="E95" s="2">
        <v>16.7</v>
      </c>
      <c r="F95" s="2">
        <v>0</v>
      </c>
      <c r="G95" s="17">
        <f t="shared" ref="G95" si="37">F95*100/E95</f>
        <v>0</v>
      </c>
      <c r="H95" s="2">
        <v>394.4</v>
      </c>
      <c r="I95" s="2">
        <v>394.4</v>
      </c>
      <c r="J95" s="2">
        <v>0</v>
      </c>
      <c r="K95" s="17">
        <f t="shared" ref="K95" si="38">J95*100/I95</f>
        <v>0</v>
      </c>
      <c r="L95" s="2">
        <v>54.8</v>
      </c>
      <c r="M95" s="2">
        <v>54.8</v>
      </c>
      <c r="N95" s="2">
        <v>0</v>
      </c>
      <c r="O95" s="17">
        <f t="shared" ref="O95" si="39">N95*100/M95</f>
        <v>0</v>
      </c>
      <c r="P95" s="2">
        <v>2.6</v>
      </c>
      <c r="Q95" s="2">
        <v>122</v>
      </c>
    </row>
    <row r="96" spans="1:21" x14ac:dyDescent="0.35">
      <c r="A96" s="2" t="s">
        <v>55</v>
      </c>
      <c r="C96" s="2" t="s">
        <v>6</v>
      </c>
      <c r="D96" s="2">
        <v>25.3</v>
      </c>
    </row>
    <row r="97" spans="1:17" x14ac:dyDescent="0.35">
      <c r="A97" s="2" t="s">
        <v>55</v>
      </c>
      <c r="C97" s="2" t="s">
        <v>3</v>
      </c>
      <c r="D97" s="2">
        <v>76.5</v>
      </c>
    </row>
    <row r="98" spans="1:17" x14ac:dyDescent="0.35">
      <c r="A98" s="2" t="s">
        <v>55</v>
      </c>
      <c r="B98" s="8">
        <v>45644</v>
      </c>
      <c r="C98" s="2" t="s">
        <v>19</v>
      </c>
      <c r="D98" s="2">
        <v>77</v>
      </c>
      <c r="E98" s="2">
        <v>10.6</v>
      </c>
      <c r="F98" s="2">
        <v>3.33</v>
      </c>
      <c r="G98" s="17">
        <f t="shared" ref="G98" si="40">F98*100/E98</f>
        <v>31.415094339622641</v>
      </c>
      <c r="H98" s="2">
        <v>400.3</v>
      </c>
      <c r="I98" s="2">
        <v>400.3</v>
      </c>
      <c r="J98" s="2">
        <v>95.8</v>
      </c>
      <c r="K98" s="17">
        <f t="shared" ref="K98" si="41">J98*100/I98</f>
        <v>23.932050961778664</v>
      </c>
      <c r="M98" s="2">
        <v>109.9</v>
      </c>
      <c r="N98" s="2">
        <v>31.2</v>
      </c>
      <c r="O98" s="17">
        <f t="shared" ref="O98" si="42">N98*100/M98</f>
        <v>28.389444949954502</v>
      </c>
      <c r="P98" s="2">
        <v>1.5</v>
      </c>
      <c r="Q98" s="2">
        <v>99.6</v>
      </c>
    </row>
    <row r="99" spans="1:17" x14ac:dyDescent="0.35">
      <c r="A99" s="2" t="s">
        <v>56</v>
      </c>
      <c r="C99" s="2" t="s">
        <v>6</v>
      </c>
      <c r="D99" s="2">
        <v>31</v>
      </c>
    </row>
    <row r="100" spans="1:17" x14ac:dyDescent="0.35">
      <c r="A100" s="2" t="s">
        <v>56</v>
      </c>
      <c r="C100" s="2" t="s">
        <v>3</v>
      </c>
      <c r="D100" s="2">
        <v>78</v>
      </c>
    </row>
    <row r="101" spans="1:17" x14ac:dyDescent="0.35">
      <c r="A101" s="2" t="s">
        <v>56</v>
      </c>
      <c r="B101" s="8">
        <v>45723</v>
      </c>
      <c r="C101" s="2" t="s">
        <v>19</v>
      </c>
      <c r="D101" s="2">
        <v>85</v>
      </c>
      <c r="E101" s="2">
        <v>26.7</v>
      </c>
      <c r="F101" s="2">
        <v>5</v>
      </c>
      <c r="G101" s="17">
        <f t="shared" ref="G101" si="43">F101*100/E101</f>
        <v>18.726591760299627</v>
      </c>
      <c r="H101" s="2">
        <v>654.4</v>
      </c>
      <c r="I101" s="2">
        <v>654.4</v>
      </c>
      <c r="J101" s="2">
        <v>113.9</v>
      </c>
      <c r="K101" s="17">
        <f t="shared" ref="K101" si="44">J101*100/I101</f>
        <v>17.405256723716381</v>
      </c>
      <c r="M101" s="2">
        <v>75.8</v>
      </c>
      <c r="N101" s="2">
        <v>32.799999999999997</v>
      </c>
      <c r="O101" s="17">
        <f t="shared" ref="O101" si="45">N101*100/M101</f>
        <v>43.271767810026383</v>
      </c>
      <c r="P101" s="2">
        <v>3.1</v>
      </c>
      <c r="Q101" s="2">
        <v>127.3</v>
      </c>
    </row>
    <row r="102" spans="1:17" x14ac:dyDescent="0.35">
      <c r="A102" s="2" t="s">
        <v>57</v>
      </c>
      <c r="C102" s="2" t="s">
        <v>6</v>
      </c>
      <c r="D102" s="2">
        <v>31</v>
      </c>
    </row>
    <row r="103" spans="1:17" x14ac:dyDescent="0.35">
      <c r="A103" s="2" t="s">
        <v>57</v>
      </c>
      <c r="C103" s="2" t="s">
        <v>3</v>
      </c>
      <c r="D103" s="2">
        <v>78</v>
      </c>
    </row>
    <row r="104" spans="1:17" x14ac:dyDescent="0.35">
      <c r="A104" s="2" t="s">
        <v>57</v>
      </c>
      <c r="B104" s="8">
        <v>45723</v>
      </c>
      <c r="C104" s="2" t="s">
        <v>19</v>
      </c>
      <c r="D104" s="2">
        <v>85</v>
      </c>
      <c r="E104" s="2">
        <v>20.8</v>
      </c>
      <c r="F104" s="2">
        <v>13.89</v>
      </c>
      <c r="G104" s="17">
        <f t="shared" ref="G104" si="46">F104*100/E104</f>
        <v>66.778846153846146</v>
      </c>
      <c r="H104" s="2">
        <v>677.8</v>
      </c>
      <c r="I104" s="2">
        <v>677.8</v>
      </c>
      <c r="J104" s="2">
        <v>127.8</v>
      </c>
      <c r="K104" s="17">
        <f t="shared" ref="K104" si="47">J104*100/I104</f>
        <v>18.855119504278548</v>
      </c>
      <c r="M104" s="2">
        <v>85.4</v>
      </c>
      <c r="N104" s="2">
        <v>30.7</v>
      </c>
      <c r="O104" s="17">
        <f t="shared" ref="O104" si="48">N104*100/M104</f>
        <v>35.948477751756435</v>
      </c>
      <c r="P104" s="2">
        <v>3.7</v>
      </c>
      <c r="Q104" s="2">
        <v>118.1</v>
      </c>
    </row>
    <row r="105" spans="1:17" x14ac:dyDescent="0.35">
      <c r="A105" s="2" t="s">
        <v>58</v>
      </c>
      <c r="C105" s="2" t="s">
        <v>6</v>
      </c>
      <c r="D105" s="2">
        <v>31</v>
      </c>
    </row>
    <row r="106" spans="1:17" x14ac:dyDescent="0.35">
      <c r="A106" s="2" t="s">
        <v>58</v>
      </c>
      <c r="C106" s="2" t="s">
        <v>3</v>
      </c>
      <c r="D106" s="2">
        <v>78</v>
      </c>
    </row>
    <row r="107" spans="1:17" x14ac:dyDescent="0.35">
      <c r="A107" s="2" t="s">
        <v>58</v>
      </c>
      <c r="B107" s="8">
        <v>45723</v>
      </c>
      <c r="C107" s="2" t="s">
        <v>19</v>
      </c>
      <c r="D107" s="2">
        <v>85</v>
      </c>
      <c r="E107" s="2">
        <v>18.600000000000001</v>
      </c>
      <c r="F107" s="2">
        <v>4.4400000000000004</v>
      </c>
      <c r="G107" s="17">
        <f t="shared" ref="G107" si="49">F107*100/E107</f>
        <v>23.870967741935484</v>
      </c>
      <c r="H107" s="2">
        <v>576.4</v>
      </c>
      <c r="I107" s="2">
        <v>576.4</v>
      </c>
      <c r="J107" s="2">
        <v>105.6</v>
      </c>
      <c r="K107" s="17">
        <f t="shared" ref="K107" si="50">J107*100/I107</f>
        <v>18.320610687022903</v>
      </c>
      <c r="L107" s="2">
        <v>48.6</v>
      </c>
      <c r="M107" s="2">
        <v>48.6</v>
      </c>
      <c r="N107" s="2">
        <v>14.3</v>
      </c>
      <c r="O107" s="17">
        <f t="shared" ref="O107" si="51">N107*100/M107</f>
        <v>29.4238683127572</v>
      </c>
      <c r="P107" s="2">
        <v>3.3</v>
      </c>
      <c r="Q107" s="2">
        <v>119.2</v>
      </c>
    </row>
    <row r="108" spans="1:17" x14ac:dyDescent="0.35">
      <c r="A108" s="2" t="s">
        <v>59</v>
      </c>
      <c r="C108" s="2" t="s">
        <v>6</v>
      </c>
      <c r="D108" s="2">
        <v>31</v>
      </c>
    </row>
    <row r="109" spans="1:17" x14ac:dyDescent="0.35">
      <c r="A109" s="2" t="s">
        <v>59</v>
      </c>
      <c r="C109" s="2" t="s">
        <v>3</v>
      </c>
      <c r="D109" s="2">
        <v>78</v>
      </c>
    </row>
    <row r="110" spans="1:17" x14ac:dyDescent="0.35">
      <c r="A110" s="2" t="s">
        <v>59</v>
      </c>
      <c r="B110" s="8">
        <v>45723</v>
      </c>
      <c r="C110" s="2" t="s">
        <v>19</v>
      </c>
      <c r="D110" s="2">
        <v>85</v>
      </c>
      <c r="E110" s="2">
        <v>17.3</v>
      </c>
      <c r="F110" s="2">
        <v>3.33</v>
      </c>
      <c r="G110" s="17">
        <f t="shared" ref="G110" si="52">F110*100/E110</f>
        <v>19.248554913294797</v>
      </c>
      <c r="H110" s="2">
        <v>661.1</v>
      </c>
      <c r="I110" s="2">
        <v>661.1</v>
      </c>
      <c r="J110" s="2">
        <v>58.3</v>
      </c>
      <c r="K110" s="17">
        <f t="shared" ref="K110" si="53">J110*100/I110</f>
        <v>8.8186356073211307</v>
      </c>
      <c r="L110" s="2">
        <v>90.8</v>
      </c>
      <c r="M110" s="2">
        <v>90.8</v>
      </c>
      <c r="N110" s="2">
        <v>28.4</v>
      </c>
      <c r="O110" s="17">
        <f t="shared" ref="O110" si="54">N110*100/M110</f>
        <v>31.277533039647579</v>
      </c>
      <c r="P110" s="2">
        <v>4.2</v>
      </c>
      <c r="Q110" s="2">
        <v>123.2</v>
      </c>
    </row>
    <row r="111" spans="1:17" x14ac:dyDescent="0.35">
      <c r="A111" s="2" t="s">
        <v>60</v>
      </c>
      <c r="C111" s="2" t="s">
        <v>6</v>
      </c>
      <c r="D111" s="2">
        <v>25.5</v>
      </c>
    </row>
    <row r="112" spans="1:17" x14ac:dyDescent="0.35">
      <c r="A112" s="2" t="s">
        <v>60</v>
      </c>
      <c r="C112" s="2" t="s">
        <v>3</v>
      </c>
      <c r="D112" s="2">
        <v>98.5</v>
      </c>
    </row>
    <row r="113" spans="1:21" x14ac:dyDescent="0.35">
      <c r="A113" s="2" t="s">
        <v>60</v>
      </c>
      <c r="B113" s="8">
        <v>45666</v>
      </c>
      <c r="C113" s="2" t="s">
        <v>19</v>
      </c>
      <c r="D113" s="2">
        <v>99</v>
      </c>
      <c r="E113" s="2">
        <v>14.1</v>
      </c>
      <c r="F113" s="2">
        <v>2.36</v>
      </c>
      <c r="G113" s="17">
        <f t="shared" ref="G113" si="55">F113*100/E113</f>
        <v>16.73758865248227</v>
      </c>
      <c r="H113" s="2">
        <v>626.4</v>
      </c>
      <c r="I113" s="2">
        <v>626.4</v>
      </c>
      <c r="J113" s="2">
        <v>173.6</v>
      </c>
      <c r="K113" s="17">
        <f t="shared" ref="K113" si="56">J113*100/I113</f>
        <v>27.713920817369093</v>
      </c>
      <c r="M113" s="2">
        <v>102.2</v>
      </c>
      <c r="N113" s="2">
        <v>58.3</v>
      </c>
      <c r="O113" s="17">
        <f t="shared" ref="O113" si="57">N113*100/M113</f>
        <v>57.045009784735811</v>
      </c>
      <c r="P113" s="2">
        <v>3.8</v>
      </c>
      <c r="Q113" s="2">
        <v>116.4</v>
      </c>
    </row>
    <row r="114" spans="1:21" x14ac:dyDescent="0.35">
      <c r="A114" s="2" t="s">
        <v>28</v>
      </c>
      <c r="C114" s="2" t="s">
        <v>6</v>
      </c>
      <c r="D114" s="2">
        <v>40</v>
      </c>
    </row>
    <row r="115" spans="1:21" x14ac:dyDescent="0.35">
      <c r="A115" s="2" t="s">
        <v>45</v>
      </c>
      <c r="C115" s="2" t="s">
        <v>6</v>
      </c>
      <c r="D115" s="2">
        <v>34</v>
      </c>
    </row>
    <row r="116" spans="1:21" x14ac:dyDescent="0.35">
      <c r="A116" s="2" t="s">
        <v>24</v>
      </c>
      <c r="C116" s="2" t="s">
        <v>6</v>
      </c>
      <c r="D116" s="2">
        <v>99.8</v>
      </c>
    </row>
    <row r="117" spans="1:21" x14ac:dyDescent="0.35">
      <c r="A117" s="2" t="s">
        <v>24</v>
      </c>
      <c r="B117" s="8">
        <v>45295</v>
      </c>
      <c r="C117" s="2" t="s">
        <v>19</v>
      </c>
      <c r="D117" s="2">
        <v>189</v>
      </c>
      <c r="E117" s="2">
        <v>8.6</v>
      </c>
      <c r="F117" s="2">
        <v>2.89</v>
      </c>
      <c r="G117" s="17">
        <f t="shared" ref="G117" si="58">F117*100/E117</f>
        <v>33.604651162790702</v>
      </c>
      <c r="H117" s="2">
        <v>319.3</v>
      </c>
      <c r="I117" s="2">
        <v>319.3</v>
      </c>
      <c r="J117" s="2">
        <v>60.5</v>
      </c>
      <c r="K117" s="17">
        <f t="shared" ref="K117" si="59">J117*100/I117</f>
        <v>18.947698089570935</v>
      </c>
      <c r="L117" s="2">
        <v>57.8</v>
      </c>
      <c r="M117" s="2">
        <v>57.8</v>
      </c>
      <c r="N117" s="2">
        <v>3</v>
      </c>
      <c r="O117" s="17">
        <f t="shared" ref="O117" si="60">N117*100/M117</f>
        <v>5.1903114186851216</v>
      </c>
      <c r="P117" s="2">
        <v>5.3</v>
      </c>
      <c r="Q117" s="2">
        <v>99.8</v>
      </c>
    </row>
    <row r="118" spans="1:21" x14ac:dyDescent="0.35">
      <c r="A118" s="2" t="s">
        <v>27</v>
      </c>
      <c r="C118" s="2" t="s">
        <v>6</v>
      </c>
      <c r="D118" s="2">
        <v>98</v>
      </c>
    </row>
    <row r="119" spans="1:21" x14ac:dyDescent="0.35">
      <c r="A119" s="2" t="s">
        <v>27</v>
      </c>
      <c r="B119" s="8">
        <v>45295</v>
      </c>
      <c r="C119" s="2" t="s">
        <v>19</v>
      </c>
      <c r="D119" s="2">
        <v>189</v>
      </c>
      <c r="E119" s="2">
        <v>8.6999999999999993</v>
      </c>
      <c r="F119" s="2">
        <v>2.89</v>
      </c>
      <c r="G119" s="17">
        <f t="shared" ref="G119" si="61">F119*100/E119</f>
        <v>33.218390804597703</v>
      </c>
      <c r="I119" s="2">
        <v>456.3</v>
      </c>
      <c r="J119" s="2">
        <v>173.7</v>
      </c>
      <c r="K119" s="17">
        <f t="shared" ref="K119" si="62">J119*100/I119</f>
        <v>38.067061143984219</v>
      </c>
      <c r="M119" s="2">
        <v>81.900000000000006</v>
      </c>
      <c r="N119" s="2">
        <v>32.4</v>
      </c>
      <c r="O119" s="17">
        <f t="shared" ref="O119" si="63">N119*100/M119</f>
        <v>39.560439560439555</v>
      </c>
      <c r="P119" s="9">
        <v>4</v>
      </c>
      <c r="Q119" s="2">
        <v>101.6</v>
      </c>
    </row>
    <row r="120" spans="1:21" x14ac:dyDescent="0.35">
      <c r="A120" s="2" t="s">
        <v>25</v>
      </c>
      <c r="C120" s="2" t="s">
        <v>6</v>
      </c>
      <c r="D120" s="2">
        <v>100.3</v>
      </c>
    </row>
    <row r="121" spans="1:21" x14ac:dyDescent="0.35">
      <c r="A121" s="2" t="s">
        <v>25</v>
      </c>
      <c r="B121" s="8">
        <v>45295</v>
      </c>
      <c r="C121" s="2" t="s">
        <v>19</v>
      </c>
      <c r="D121" s="2">
        <v>189</v>
      </c>
      <c r="E121" s="2">
        <v>8.6999999999999993</v>
      </c>
      <c r="F121" s="2">
        <v>0.79</v>
      </c>
      <c r="G121" s="17">
        <f t="shared" ref="G121" si="64">F121*100/E121</f>
        <v>9.0804597701149437</v>
      </c>
      <c r="H121" s="2">
        <v>254.2</v>
      </c>
      <c r="I121" s="2">
        <v>254.2</v>
      </c>
      <c r="J121" s="2">
        <v>37.4</v>
      </c>
      <c r="K121" s="17">
        <f t="shared" ref="K121" si="65">J121*100/I121</f>
        <v>14.712824547600315</v>
      </c>
      <c r="L121" s="2">
        <v>43.4</v>
      </c>
      <c r="M121" s="2">
        <v>43.4</v>
      </c>
      <c r="N121" s="2">
        <v>3.8</v>
      </c>
      <c r="O121" s="17">
        <f t="shared" ref="O121" si="66">N121*100/M121</f>
        <v>8.7557603686635943</v>
      </c>
      <c r="P121" s="9">
        <v>3.5</v>
      </c>
      <c r="Q121" s="2">
        <v>90.4</v>
      </c>
    </row>
    <row r="122" spans="1:21" x14ac:dyDescent="0.35">
      <c r="A122" s="2" t="s">
        <v>26</v>
      </c>
      <c r="C122" s="2" t="s">
        <v>6</v>
      </c>
      <c r="D122" s="2">
        <v>103</v>
      </c>
    </row>
    <row r="123" spans="1:21" x14ac:dyDescent="0.35">
      <c r="A123" s="2" t="s">
        <v>26</v>
      </c>
      <c r="B123" s="8">
        <v>45295</v>
      </c>
      <c r="C123" s="2" t="s">
        <v>19</v>
      </c>
      <c r="D123" s="2">
        <v>189</v>
      </c>
      <c r="E123" s="2">
        <v>10.8</v>
      </c>
      <c r="F123" s="2">
        <v>0.26</v>
      </c>
      <c r="G123" s="17">
        <f t="shared" ref="G123" si="67">F123*100/E123</f>
        <v>2.4074074074074074</v>
      </c>
      <c r="H123" s="2">
        <v>313.7</v>
      </c>
      <c r="I123" s="2">
        <v>313.7</v>
      </c>
      <c r="J123" s="2">
        <v>18.899999999999999</v>
      </c>
      <c r="K123" s="17">
        <f t="shared" ref="K123" si="68">J123*100/I123</f>
        <v>6.0248645202422688</v>
      </c>
      <c r="L123" s="2">
        <v>54.5</v>
      </c>
      <c r="M123" s="2">
        <v>54.5</v>
      </c>
      <c r="N123" s="2">
        <v>10.1</v>
      </c>
      <c r="O123" s="17">
        <f t="shared" ref="O123" si="69">N123*100/M123</f>
        <v>18.532110091743121</v>
      </c>
      <c r="P123" s="9">
        <v>4</v>
      </c>
      <c r="Q123" s="2">
        <v>79.8</v>
      </c>
    </row>
    <row r="124" spans="1:21" x14ac:dyDescent="0.35">
      <c r="A124" s="2" t="s">
        <v>49</v>
      </c>
      <c r="C124" s="2" t="s">
        <v>6</v>
      </c>
      <c r="D124" s="2">
        <v>90.5</v>
      </c>
    </row>
    <row r="125" spans="1:21" x14ac:dyDescent="0.35">
      <c r="A125" s="2" t="s">
        <v>49</v>
      </c>
      <c r="B125" s="8">
        <v>45272</v>
      </c>
      <c r="C125" s="2" t="s">
        <v>19</v>
      </c>
      <c r="D125" s="2">
        <v>166</v>
      </c>
      <c r="E125" s="2">
        <v>14.6</v>
      </c>
      <c r="F125" s="2">
        <v>10.79</v>
      </c>
      <c r="G125" s="17">
        <f t="shared" ref="G125" si="70">F125*100/E125</f>
        <v>73.904109589041099</v>
      </c>
      <c r="I125" s="2">
        <v>193.2</v>
      </c>
      <c r="J125" s="2">
        <v>94.7</v>
      </c>
      <c r="K125" s="17">
        <f t="shared" ref="K125" si="71">J125*100/I125</f>
        <v>49.016563146997932</v>
      </c>
      <c r="L125" s="2">
        <v>45.4</v>
      </c>
      <c r="M125" s="2">
        <v>45.4</v>
      </c>
      <c r="N125" s="2">
        <v>23</v>
      </c>
      <c r="O125" s="17">
        <f t="shared" ref="O125" si="72">N125*100/M125</f>
        <v>50.66079295154185</v>
      </c>
      <c r="P125" s="9">
        <v>4.0999999999999996</v>
      </c>
      <c r="Q125" s="2">
        <v>70.7</v>
      </c>
    </row>
    <row r="126" spans="1:21" x14ac:dyDescent="0.35">
      <c r="A126" s="2" t="s">
        <v>48</v>
      </c>
      <c r="C126" s="2" t="s">
        <v>6</v>
      </c>
      <c r="D126" s="2">
        <v>87.5</v>
      </c>
    </row>
    <row r="127" spans="1:21" s="5" customFormat="1" x14ac:dyDescent="0.35">
      <c r="A127" s="2" t="s">
        <v>48</v>
      </c>
      <c r="B127" s="8">
        <v>45272</v>
      </c>
      <c r="C127" s="2" t="s">
        <v>19</v>
      </c>
      <c r="D127" s="2">
        <v>166</v>
      </c>
      <c r="E127" s="2">
        <v>11.2</v>
      </c>
      <c r="F127" s="2">
        <v>7.11</v>
      </c>
      <c r="G127" s="17">
        <f t="shared" ref="G127" si="73">F127*100/E127</f>
        <v>63.482142857142861</v>
      </c>
      <c r="H127" s="2"/>
      <c r="I127" s="2">
        <v>309.5</v>
      </c>
      <c r="J127" s="2">
        <v>112.1</v>
      </c>
      <c r="K127" s="17">
        <f t="shared" ref="K127" si="74">J127*100/I127</f>
        <v>36.219709208400644</v>
      </c>
      <c r="L127" s="2"/>
      <c r="M127" s="2">
        <v>60.2</v>
      </c>
      <c r="N127" s="2">
        <v>31.4</v>
      </c>
      <c r="O127" s="17">
        <f t="shared" ref="O127" si="75">N127*100/M127</f>
        <v>52.159468438538205</v>
      </c>
      <c r="P127" s="9">
        <v>4.4000000000000004</v>
      </c>
      <c r="Q127" s="2">
        <v>90.1</v>
      </c>
      <c r="R127" s="2"/>
      <c r="S127" s="2"/>
      <c r="T127" s="2"/>
      <c r="U127" s="2"/>
    </row>
    <row r="128" spans="1:21" x14ac:dyDescent="0.35">
      <c r="A128" s="2" t="s">
        <v>46</v>
      </c>
      <c r="C128" s="2" t="s">
        <v>6</v>
      </c>
      <c r="D128" s="2">
        <v>86.5</v>
      </c>
    </row>
    <row r="129" spans="1:21" x14ac:dyDescent="0.35">
      <c r="A129" s="2" t="s">
        <v>46</v>
      </c>
      <c r="B129" s="8">
        <v>45272</v>
      </c>
      <c r="C129" s="2" t="s">
        <v>19</v>
      </c>
      <c r="D129" s="2">
        <v>166</v>
      </c>
      <c r="E129" s="2">
        <v>16.2</v>
      </c>
      <c r="F129" s="2">
        <v>16.579999999999998</v>
      </c>
      <c r="G129" s="17">
        <f t="shared" ref="G129" si="76">F129*100/E129</f>
        <v>102.34567901234567</v>
      </c>
      <c r="I129" s="2">
        <v>265.5</v>
      </c>
      <c r="J129" s="2">
        <v>116.8</v>
      </c>
      <c r="K129" s="17">
        <f t="shared" ref="K129" si="77">J129*100/I129</f>
        <v>43.992467043314498</v>
      </c>
      <c r="L129" s="2">
        <v>50.2</v>
      </c>
      <c r="M129" s="2">
        <v>50.2</v>
      </c>
      <c r="N129" s="2">
        <v>23.1</v>
      </c>
      <c r="O129" s="17">
        <f t="shared" ref="O129" si="78">N129*100/M129</f>
        <v>46.015936254980076</v>
      </c>
      <c r="P129" s="9">
        <v>4.7</v>
      </c>
      <c r="Q129" s="2">
        <v>79.599999999999994</v>
      </c>
    </row>
    <row r="130" spans="1:21" x14ac:dyDescent="0.35">
      <c r="A130" s="2" t="s">
        <v>47</v>
      </c>
      <c r="C130" s="2" t="s">
        <v>6</v>
      </c>
      <c r="D130" s="2">
        <v>84.3</v>
      </c>
    </row>
    <row r="131" spans="1:21" x14ac:dyDescent="0.35">
      <c r="A131" s="2" t="s">
        <v>47</v>
      </c>
      <c r="B131" s="8">
        <v>45272</v>
      </c>
      <c r="C131" s="2" t="s">
        <v>19</v>
      </c>
      <c r="D131" s="2">
        <v>166</v>
      </c>
      <c r="E131" s="2">
        <v>8.1999999999999993</v>
      </c>
      <c r="F131" s="2">
        <v>4.21</v>
      </c>
      <c r="G131" s="17">
        <f t="shared" ref="G131" si="79">F131*100/E131</f>
        <v>51.341463414634148</v>
      </c>
      <c r="H131" s="2">
        <v>421.8</v>
      </c>
      <c r="I131" s="2">
        <v>421.8</v>
      </c>
      <c r="J131" s="2">
        <v>68.900000000000006</v>
      </c>
      <c r="K131" s="17">
        <f t="shared" ref="K131" si="80">J131*100/I131</f>
        <v>16.334755808440022</v>
      </c>
      <c r="L131" s="2">
        <v>115.5</v>
      </c>
      <c r="M131" s="2">
        <v>115.5</v>
      </c>
      <c r="N131" s="2">
        <v>29.2</v>
      </c>
      <c r="O131" s="17">
        <f t="shared" ref="O131" si="81">N131*100/M131</f>
        <v>25.28138528138528</v>
      </c>
      <c r="P131" s="9">
        <v>5.5</v>
      </c>
      <c r="Q131" s="2">
        <v>99.9</v>
      </c>
    </row>
    <row r="132" spans="1:21" x14ac:dyDescent="0.35">
      <c r="A132" s="2" t="s">
        <v>50</v>
      </c>
      <c r="C132" s="2" t="s">
        <v>6</v>
      </c>
      <c r="D132" s="2">
        <v>43</v>
      </c>
    </row>
    <row r="133" spans="1:21" x14ac:dyDescent="0.35">
      <c r="A133" s="2" t="s">
        <v>50</v>
      </c>
      <c r="B133" s="8">
        <v>45659</v>
      </c>
      <c r="C133" s="2" t="s">
        <v>19</v>
      </c>
      <c r="D133" s="2">
        <v>110</v>
      </c>
      <c r="E133" s="2">
        <v>26.7</v>
      </c>
      <c r="F133" s="2">
        <v>10.26</v>
      </c>
      <c r="G133" s="17">
        <f t="shared" ref="G133" si="82">F133*100/E133</f>
        <v>38.426966292134836</v>
      </c>
      <c r="I133" s="2">
        <v>217.5</v>
      </c>
      <c r="J133" s="2">
        <v>83.3</v>
      </c>
      <c r="K133" s="17">
        <f t="shared" ref="K133" si="83">J133*100/I133</f>
        <v>38.298850574712645</v>
      </c>
      <c r="L133" s="2">
        <v>26.6</v>
      </c>
      <c r="M133" s="2">
        <v>26.6</v>
      </c>
      <c r="N133" s="2">
        <v>10.9</v>
      </c>
      <c r="O133" s="17">
        <f t="shared" ref="O133" si="84">N133*100/M133</f>
        <v>40.977443609022551</v>
      </c>
      <c r="P133" s="9">
        <v>2.6</v>
      </c>
      <c r="Q133" s="2">
        <v>56.7</v>
      </c>
    </row>
    <row r="134" spans="1:21" x14ac:dyDescent="0.35">
      <c r="A134" s="2" t="s">
        <v>51</v>
      </c>
      <c r="C134" s="2" t="s">
        <v>6</v>
      </c>
      <c r="D134" s="2">
        <v>39.700000000000003</v>
      </c>
    </row>
    <row r="135" spans="1:21" x14ac:dyDescent="0.35">
      <c r="A135" s="2" t="s">
        <v>51</v>
      </c>
      <c r="B135" s="8">
        <v>45659</v>
      </c>
      <c r="C135" s="2" t="s">
        <v>19</v>
      </c>
      <c r="D135" s="2">
        <v>110</v>
      </c>
      <c r="E135" s="2">
        <v>16.7</v>
      </c>
      <c r="F135" s="2">
        <v>4.87</v>
      </c>
      <c r="G135" s="17">
        <f t="shared" ref="G135" si="85">F135*100/E135</f>
        <v>29.161676646706589</v>
      </c>
      <c r="I135" s="2">
        <v>201.9</v>
      </c>
      <c r="J135" s="2">
        <v>127</v>
      </c>
      <c r="K135" s="17">
        <f t="shared" ref="K135" si="86">J135*100/I135</f>
        <v>62.902426944031696</v>
      </c>
      <c r="L135" s="2">
        <v>25.9</v>
      </c>
      <c r="M135" s="2">
        <v>25.9</v>
      </c>
      <c r="N135" s="2">
        <v>19.8</v>
      </c>
      <c r="O135" s="17">
        <f t="shared" ref="O135" si="87">N135*100/M135</f>
        <v>76.447876447876453</v>
      </c>
      <c r="P135" s="9">
        <v>3.3</v>
      </c>
      <c r="Q135" s="2">
        <v>60</v>
      </c>
    </row>
    <row r="136" spans="1:21" x14ac:dyDescent="0.35">
      <c r="A136" s="2" t="s">
        <v>52</v>
      </c>
      <c r="C136" s="2" t="s">
        <v>6</v>
      </c>
      <c r="D136" s="2">
        <v>38.299999999999997</v>
      </c>
    </row>
    <row r="137" spans="1:21" x14ac:dyDescent="0.35">
      <c r="A137" s="2" t="s">
        <v>52</v>
      </c>
      <c r="B137" s="8">
        <v>45659</v>
      </c>
      <c r="C137" s="2" t="s">
        <v>19</v>
      </c>
      <c r="D137" s="2">
        <v>110</v>
      </c>
      <c r="E137" s="2">
        <v>13.2</v>
      </c>
      <c r="F137" s="2">
        <v>3.68</v>
      </c>
      <c r="G137" s="17">
        <f t="shared" ref="G137" si="88">F137*100/E137</f>
        <v>27.878787878787879</v>
      </c>
      <c r="I137" s="2">
        <v>64.8</v>
      </c>
      <c r="J137" s="2">
        <v>37</v>
      </c>
      <c r="K137" s="17">
        <f t="shared" ref="K137" si="89">J137*100/I137</f>
        <v>57.098765432098766</v>
      </c>
      <c r="L137" s="2">
        <v>10.199999999999999</v>
      </c>
      <c r="M137" s="2">
        <v>10.199999999999999</v>
      </c>
      <c r="N137" s="2">
        <v>6.8</v>
      </c>
      <c r="O137" s="17">
        <f t="shared" ref="O137" si="90">N137*100/M137</f>
        <v>66.666666666666671</v>
      </c>
      <c r="P137" s="9">
        <v>1.3</v>
      </c>
      <c r="Q137" s="2">
        <v>69.900000000000006</v>
      </c>
    </row>
    <row r="138" spans="1:21" x14ac:dyDescent="0.35">
      <c r="A138" s="7" t="s">
        <v>5</v>
      </c>
      <c r="C138" s="1" t="s">
        <v>4</v>
      </c>
      <c r="D138" s="9">
        <v>5</v>
      </c>
      <c r="E138" s="9"/>
      <c r="F138" s="9"/>
      <c r="H138" s="9"/>
      <c r="I138" s="9"/>
      <c r="J138" s="9"/>
      <c r="S138" s="11"/>
      <c r="T138" s="11"/>
      <c r="U138" s="11"/>
    </row>
    <row r="139" spans="1:21" x14ac:dyDescent="0.35">
      <c r="A139" s="7" t="s">
        <v>5</v>
      </c>
      <c r="C139" s="1" t="s">
        <v>6</v>
      </c>
      <c r="D139" s="9">
        <v>40</v>
      </c>
      <c r="E139" s="9"/>
      <c r="F139" s="9"/>
      <c r="H139" s="9"/>
      <c r="I139" s="9"/>
      <c r="J139" s="9"/>
      <c r="S139" s="11"/>
      <c r="T139" s="11"/>
      <c r="U139" s="11"/>
    </row>
    <row r="140" spans="1:21" x14ac:dyDescent="0.35">
      <c r="A140" s="7" t="s">
        <v>5</v>
      </c>
      <c r="C140" s="1" t="s">
        <v>7</v>
      </c>
      <c r="D140" s="9">
        <v>45</v>
      </c>
      <c r="E140" s="9"/>
      <c r="F140" s="9"/>
      <c r="H140" s="9"/>
      <c r="I140" s="9"/>
      <c r="J140" s="9"/>
      <c r="S140" s="11"/>
      <c r="T140" s="11"/>
      <c r="U140" s="11"/>
    </row>
    <row r="141" spans="1:21" x14ac:dyDescent="0.35">
      <c r="A141" s="7" t="s">
        <v>5</v>
      </c>
      <c r="C141" s="1" t="s">
        <v>8</v>
      </c>
      <c r="D141" s="9">
        <v>50</v>
      </c>
      <c r="E141" s="9"/>
      <c r="F141" s="9"/>
      <c r="H141" s="9"/>
      <c r="I141" s="9"/>
      <c r="J141" s="9"/>
      <c r="S141" s="11"/>
      <c r="T141" s="11"/>
      <c r="U141" s="11"/>
    </row>
    <row r="142" spans="1:21" x14ac:dyDescent="0.35">
      <c r="A142" s="7" t="s">
        <v>5</v>
      </c>
      <c r="C142" s="1" t="s">
        <v>9</v>
      </c>
      <c r="D142" s="9">
        <v>65</v>
      </c>
      <c r="E142" s="9"/>
      <c r="F142" s="9"/>
      <c r="H142" s="9"/>
      <c r="I142" s="9"/>
      <c r="J142" s="9"/>
      <c r="S142" s="11"/>
      <c r="T142" s="11"/>
      <c r="U142" s="11"/>
    </row>
    <row r="143" spans="1:21" x14ac:dyDescent="0.35">
      <c r="A143" s="7" t="s">
        <v>5</v>
      </c>
      <c r="C143" s="1" t="s">
        <v>10</v>
      </c>
      <c r="D143" s="9">
        <v>75</v>
      </c>
      <c r="E143" s="9"/>
      <c r="F143" s="9"/>
      <c r="H143" s="9"/>
      <c r="I143" s="9"/>
      <c r="J143" s="9"/>
      <c r="S143" s="11"/>
      <c r="T143" s="11"/>
      <c r="U143" s="11"/>
    </row>
    <row r="144" spans="1:21" x14ac:dyDescent="0.35">
      <c r="A144" s="7" t="s">
        <v>5</v>
      </c>
      <c r="C144" s="1" t="s">
        <v>11</v>
      </c>
      <c r="D144" s="9">
        <v>93</v>
      </c>
      <c r="E144" s="9"/>
      <c r="F144" s="9"/>
      <c r="H144" s="9"/>
      <c r="I144" s="9"/>
      <c r="J144" s="9"/>
      <c r="S144" s="11"/>
      <c r="T144" s="11"/>
      <c r="U144" s="11"/>
    </row>
    <row r="145" spans="1:21" x14ac:dyDescent="0.35">
      <c r="A145" s="7" t="s">
        <v>5</v>
      </c>
      <c r="C145" s="1" t="s">
        <v>3</v>
      </c>
      <c r="D145" s="9">
        <v>97</v>
      </c>
      <c r="E145" s="9"/>
      <c r="F145" s="9"/>
      <c r="H145" s="9"/>
      <c r="I145" s="9"/>
      <c r="J145" s="9"/>
      <c r="S145" s="11"/>
      <c r="T145" s="11"/>
      <c r="U145" s="11"/>
    </row>
    <row r="146" spans="1:21" x14ac:dyDescent="0.35">
      <c r="A146" s="7" t="s">
        <v>5</v>
      </c>
      <c r="C146" s="1" t="s">
        <v>12</v>
      </c>
      <c r="D146" s="9">
        <v>108</v>
      </c>
      <c r="E146" s="9"/>
      <c r="F146" s="9"/>
      <c r="H146" s="9"/>
      <c r="I146" s="9"/>
      <c r="J146" s="9"/>
      <c r="S146" s="11"/>
      <c r="T146" s="11"/>
      <c r="U146" s="11"/>
    </row>
  </sheetData>
  <sortState xmlns:xlrd2="http://schemas.microsoft.com/office/spreadsheetml/2017/richdata2" ref="A2:U235">
    <sortCondition ref="A2:A235"/>
    <sortCondition ref="D2:D23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36989-EFA1-4A52-A33D-F91BC2581CF8}">
  <dimension ref="A1:P144"/>
  <sheetViews>
    <sheetView zoomScaleNormal="100" workbookViewId="0">
      <pane xSplit="1" ySplit="1" topLeftCell="B113" activePane="bottomRight" state="frozen"/>
      <selection pane="topRight" activeCell="B1" sqref="B1"/>
      <selection pane="bottomLeft" activeCell="A2" sqref="A2"/>
      <selection pane="bottomRight" activeCell="D35" sqref="D35"/>
    </sheetView>
  </sheetViews>
  <sheetFormatPr defaultColWidth="9.1796875" defaultRowHeight="14.5" x14ac:dyDescent="0.35"/>
  <cols>
    <col min="1" max="1" width="34.81640625" style="2" bestFit="1" customWidth="1"/>
    <col min="2" max="2" width="11.54296875" style="8" bestFit="1" customWidth="1"/>
    <col min="3" max="3" width="23.453125" style="2" bestFit="1" customWidth="1"/>
    <col min="4" max="4" width="16.26953125" style="2" bestFit="1" customWidth="1"/>
    <col min="5" max="5" width="10.7265625" style="2" bestFit="1" customWidth="1"/>
    <col min="6" max="6" width="15.1796875" style="2" bestFit="1" customWidth="1"/>
    <col min="7" max="7" width="16.26953125" style="2" bestFit="1" customWidth="1"/>
    <col min="8" max="8" width="20.7265625" style="2" bestFit="1" customWidth="1"/>
    <col min="9" max="9" width="8.54296875" style="2" bestFit="1" customWidth="1"/>
    <col min="10" max="10" width="12.81640625" style="2" bestFit="1" customWidth="1"/>
    <col min="11" max="11" width="14.453125" style="2" bestFit="1" customWidth="1"/>
    <col min="12" max="12" width="6.81640625" style="2" bestFit="1" customWidth="1"/>
    <col min="13" max="13" width="11.7265625" style="2" bestFit="1" customWidth="1"/>
    <col min="14" max="14" width="11" style="2" bestFit="1" customWidth="1"/>
    <col min="15" max="15" width="11.81640625" style="2" bestFit="1" customWidth="1"/>
    <col min="16" max="16" width="20.453125" style="2" bestFit="1" customWidth="1"/>
    <col min="17" max="16384" width="9.1796875" style="2"/>
  </cols>
  <sheetData>
    <row r="1" spans="1:16" x14ac:dyDescent="0.35">
      <c r="A1" s="4" t="s">
        <v>0</v>
      </c>
      <c r="B1" s="3" t="s">
        <v>1</v>
      </c>
      <c r="C1" s="3" t="s">
        <v>61</v>
      </c>
      <c r="D1" s="6" t="s">
        <v>62</v>
      </c>
      <c r="E1" s="6" t="s">
        <v>63</v>
      </c>
      <c r="F1" s="6" t="s">
        <v>64</v>
      </c>
      <c r="G1" s="6" t="s">
        <v>65</v>
      </c>
      <c r="H1" s="6" t="s">
        <v>66</v>
      </c>
      <c r="I1" s="3" t="s">
        <v>67</v>
      </c>
      <c r="J1" s="3" t="s">
        <v>68</v>
      </c>
      <c r="K1" s="3" t="s">
        <v>69</v>
      </c>
      <c r="L1" s="6" t="s">
        <v>70</v>
      </c>
      <c r="M1" s="4" t="s">
        <v>71</v>
      </c>
      <c r="N1" s="6" t="s">
        <v>72</v>
      </c>
      <c r="O1" s="6" t="s">
        <v>73</v>
      </c>
      <c r="P1" s="6" t="s">
        <v>2</v>
      </c>
    </row>
    <row r="2" spans="1:16" x14ac:dyDescent="0.35">
      <c r="A2" s="7" t="s">
        <v>13</v>
      </c>
      <c r="C2" s="1" t="s">
        <v>4</v>
      </c>
      <c r="D2" s="9">
        <v>4</v>
      </c>
      <c r="E2" s="9"/>
      <c r="F2" s="9"/>
      <c r="G2" s="9"/>
      <c r="H2" s="9"/>
      <c r="M2" s="10"/>
      <c r="N2" s="11"/>
      <c r="O2" s="11"/>
      <c r="P2" s="11"/>
    </row>
    <row r="3" spans="1:16" x14ac:dyDescent="0.35">
      <c r="A3" s="7" t="s">
        <v>13</v>
      </c>
      <c r="C3" s="1" t="s">
        <v>6</v>
      </c>
      <c r="D3" s="9">
        <v>41</v>
      </c>
      <c r="E3" s="9"/>
      <c r="F3" s="9"/>
      <c r="G3" s="9"/>
      <c r="H3" s="9"/>
      <c r="M3" s="10"/>
      <c r="N3" s="11"/>
      <c r="O3" s="11"/>
      <c r="P3" s="11"/>
    </row>
    <row r="4" spans="1:16" x14ac:dyDescent="0.35">
      <c r="A4" s="7" t="s">
        <v>13</v>
      </c>
      <c r="C4" s="1" t="s">
        <v>7</v>
      </c>
      <c r="D4" s="9">
        <v>51</v>
      </c>
      <c r="E4" s="9"/>
      <c r="F4" s="9"/>
      <c r="G4" s="9"/>
      <c r="H4" s="9"/>
      <c r="M4" s="10"/>
      <c r="N4" s="11"/>
      <c r="O4" s="11"/>
      <c r="P4" s="11"/>
    </row>
    <row r="5" spans="1:16" x14ac:dyDescent="0.35">
      <c r="A5" s="7" t="s">
        <v>13</v>
      </c>
      <c r="C5" s="1" t="s">
        <v>3</v>
      </c>
      <c r="D5" s="9">
        <v>84</v>
      </c>
      <c r="E5" s="9"/>
      <c r="F5" s="9"/>
      <c r="G5" s="9">
        <v>172</v>
      </c>
      <c r="H5" s="9"/>
      <c r="I5" s="2">
        <v>40.42</v>
      </c>
      <c r="M5" s="10"/>
      <c r="N5" s="11"/>
      <c r="O5" s="11"/>
      <c r="P5" s="11"/>
    </row>
    <row r="6" spans="1:16" x14ac:dyDescent="0.35">
      <c r="A6" s="7" t="s">
        <v>14</v>
      </c>
      <c r="C6" s="1" t="s">
        <v>4</v>
      </c>
      <c r="D6" s="9">
        <v>4</v>
      </c>
      <c r="E6" s="9"/>
      <c r="F6" s="9"/>
      <c r="G6" s="9"/>
      <c r="H6" s="9"/>
      <c r="M6" s="10"/>
      <c r="N6" s="11"/>
      <c r="O6" s="11"/>
      <c r="P6" s="11"/>
    </row>
    <row r="7" spans="1:16" x14ac:dyDescent="0.35">
      <c r="A7" s="7" t="s">
        <v>14</v>
      </c>
      <c r="C7" s="1" t="s">
        <v>6</v>
      </c>
      <c r="D7" s="9">
        <v>40</v>
      </c>
      <c r="E7" s="9"/>
      <c r="F7" s="9"/>
      <c r="G7" s="9"/>
      <c r="H7" s="9"/>
      <c r="M7" s="10"/>
      <c r="N7" s="11"/>
      <c r="O7" s="11"/>
      <c r="P7" s="11"/>
    </row>
    <row r="8" spans="1:16" x14ac:dyDescent="0.35">
      <c r="A8" s="7" t="s">
        <v>14</v>
      </c>
      <c r="C8" s="1" t="s">
        <v>7</v>
      </c>
      <c r="D8" s="9">
        <v>50</v>
      </c>
      <c r="E8" s="9"/>
      <c r="F8" s="9"/>
      <c r="G8" s="9"/>
      <c r="H8" s="9"/>
      <c r="M8" s="10"/>
      <c r="N8" s="11"/>
      <c r="O8" s="11"/>
      <c r="P8" s="11"/>
    </row>
    <row r="9" spans="1:16" x14ac:dyDescent="0.35">
      <c r="A9" s="7" t="s">
        <v>14</v>
      </c>
      <c r="C9" s="1" t="s">
        <v>3</v>
      </c>
      <c r="D9" s="9">
        <v>82</v>
      </c>
      <c r="E9" s="9"/>
      <c r="F9" s="9"/>
      <c r="G9" s="9">
        <v>165</v>
      </c>
      <c r="H9" s="9"/>
      <c r="I9" s="2">
        <v>38.54</v>
      </c>
      <c r="M9" s="10"/>
      <c r="N9" s="11"/>
      <c r="O9" s="11"/>
      <c r="P9" s="11"/>
    </row>
    <row r="10" spans="1:16" x14ac:dyDescent="0.35">
      <c r="A10" s="7" t="s">
        <v>15</v>
      </c>
      <c r="C10" s="1" t="s">
        <v>4</v>
      </c>
      <c r="D10" s="9">
        <v>5</v>
      </c>
      <c r="E10" s="9"/>
      <c r="F10" s="9"/>
      <c r="G10" s="9"/>
      <c r="H10" s="9"/>
      <c r="M10" s="10"/>
      <c r="N10" s="11"/>
      <c r="O10" s="11"/>
      <c r="P10" s="11"/>
    </row>
    <row r="11" spans="1:16" x14ac:dyDescent="0.35">
      <c r="A11" s="7" t="s">
        <v>15</v>
      </c>
      <c r="C11" s="1" t="s">
        <v>6</v>
      </c>
      <c r="D11" s="9">
        <v>38</v>
      </c>
      <c r="E11" s="9"/>
      <c r="F11" s="9"/>
      <c r="G11" s="9"/>
      <c r="H11" s="9"/>
      <c r="M11" s="10"/>
      <c r="N11" s="11"/>
      <c r="O11" s="11"/>
      <c r="P11" s="11"/>
    </row>
    <row r="12" spans="1:16" x14ac:dyDescent="0.35">
      <c r="A12" s="7" t="s">
        <v>15</v>
      </c>
      <c r="C12" s="1" t="s">
        <v>7</v>
      </c>
      <c r="D12" s="9">
        <v>47</v>
      </c>
      <c r="E12" s="9"/>
      <c r="F12" s="9"/>
      <c r="G12" s="9"/>
      <c r="H12" s="9"/>
      <c r="M12" s="10"/>
      <c r="N12" s="11"/>
      <c r="O12" s="11"/>
      <c r="P12" s="11"/>
    </row>
    <row r="13" spans="1:16" x14ac:dyDescent="0.35">
      <c r="A13" s="7" t="s">
        <v>15</v>
      </c>
      <c r="C13" s="1" t="s">
        <v>3</v>
      </c>
      <c r="D13" s="9">
        <v>80</v>
      </c>
      <c r="E13" s="9"/>
      <c r="F13" s="9"/>
      <c r="G13" s="9">
        <v>116</v>
      </c>
      <c r="H13" s="9"/>
      <c r="I13" s="2">
        <v>27.38</v>
      </c>
      <c r="M13" s="10"/>
      <c r="N13" s="11"/>
      <c r="O13" s="11"/>
      <c r="P13" s="11"/>
    </row>
    <row r="14" spans="1:16" x14ac:dyDescent="0.35">
      <c r="A14" s="7" t="s">
        <v>16</v>
      </c>
      <c r="C14" s="1" t="s">
        <v>4</v>
      </c>
      <c r="D14" s="9">
        <v>5</v>
      </c>
      <c r="E14" s="9"/>
      <c r="F14" s="9"/>
      <c r="G14" s="9"/>
      <c r="H14" s="9"/>
      <c r="M14" s="10"/>
      <c r="N14" s="11"/>
      <c r="O14" s="11"/>
      <c r="P14" s="11"/>
    </row>
    <row r="15" spans="1:16" x14ac:dyDescent="0.35">
      <c r="A15" s="7" t="s">
        <v>16</v>
      </c>
      <c r="C15" s="1" t="s">
        <v>6</v>
      </c>
      <c r="D15" s="9">
        <v>36</v>
      </c>
      <c r="E15" s="9"/>
      <c r="F15" s="9"/>
      <c r="G15" s="9"/>
      <c r="H15" s="9"/>
      <c r="M15" s="10"/>
      <c r="N15" s="11"/>
      <c r="O15" s="11"/>
      <c r="P15" s="11"/>
    </row>
    <row r="16" spans="1:16" x14ac:dyDescent="0.35">
      <c r="A16" s="7" t="s">
        <v>16</v>
      </c>
      <c r="C16" s="1" t="s">
        <v>7</v>
      </c>
      <c r="D16" s="9">
        <v>43</v>
      </c>
      <c r="E16" s="9"/>
      <c r="F16" s="9"/>
      <c r="G16" s="9"/>
      <c r="H16" s="9"/>
      <c r="M16" s="10"/>
      <c r="N16" s="11"/>
      <c r="O16" s="11"/>
      <c r="P16" s="11"/>
    </row>
    <row r="17" spans="1:16" x14ac:dyDescent="0.35">
      <c r="A17" s="7" t="s">
        <v>16</v>
      </c>
      <c r="C17" s="1" t="s">
        <v>3</v>
      </c>
      <c r="D17" s="9">
        <v>79</v>
      </c>
      <c r="E17" s="9"/>
      <c r="F17" s="9"/>
      <c r="G17" s="9">
        <v>73</v>
      </c>
      <c r="H17" s="9"/>
      <c r="I17" s="2">
        <v>12.22</v>
      </c>
      <c r="M17" s="10"/>
      <c r="N17" s="11"/>
      <c r="O17" s="11"/>
      <c r="P17" s="11"/>
    </row>
    <row r="18" spans="1:16" x14ac:dyDescent="0.35">
      <c r="A18" s="7" t="s">
        <v>17</v>
      </c>
      <c r="C18" s="1" t="s">
        <v>4</v>
      </c>
      <c r="D18" s="9">
        <v>7</v>
      </c>
      <c r="E18" s="9"/>
      <c r="F18" s="9"/>
      <c r="G18" s="9"/>
      <c r="H18" s="9"/>
      <c r="M18" s="10"/>
      <c r="N18" s="11"/>
      <c r="O18" s="11"/>
      <c r="P18" s="11"/>
    </row>
    <row r="19" spans="1:16" x14ac:dyDescent="0.35">
      <c r="A19" s="7" t="s">
        <v>18</v>
      </c>
      <c r="C19" s="1" t="s">
        <v>4</v>
      </c>
      <c r="D19" s="9">
        <v>7</v>
      </c>
      <c r="E19" s="9"/>
      <c r="F19" s="9"/>
      <c r="G19" s="9"/>
      <c r="H19" s="9"/>
      <c r="M19" s="10"/>
      <c r="N19" s="11"/>
      <c r="O19" s="11"/>
      <c r="P19" s="11"/>
    </row>
    <row r="20" spans="1:16" x14ac:dyDescent="0.35">
      <c r="A20" s="7" t="s">
        <v>17</v>
      </c>
      <c r="C20" s="1" t="s">
        <v>6</v>
      </c>
      <c r="D20" s="2">
        <v>28</v>
      </c>
      <c r="G20" s="9"/>
      <c r="H20" s="9"/>
      <c r="M20" s="10"/>
      <c r="N20" s="11"/>
      <c r="O20" s="11"/>
      <c r="P20" s="11"/>
    </row>
    <row r="21" spans="1:16" x14ac:dyDescent="0.35">
      <c r="A21" s="7" t="s">
        <v>18</v>
      </c>
      <c r="C21" s="1" t="s">
        <v>6</v>
      </c>
      <c r="D21" s="2">
        <v>28</v>
      </c>
      <c r="G21" s="9"/>
      <c r="H21" s="9"/>
      <c r="M21" s="10"/>
      <c r="N21" s="11"/>
      <c r="O21" s="11"/>
      <c r="P21" s="11"/>
    </row>
    <row r="22" spans="1:16" x14ac:dyDescent="0.35">
      <c r="A22" s="7" t="s">
        <v>17</v>
      </c>
      <c r="C22" s="1" t="s">
        <v>3</v>
      </c>
      <c r="D22" s="2">
        <v>113</v>
      </c>
      <c r="G22" s="9"/>
      <c r="H22" s="9"/>
      <c r="M22" s="10"/>
      <c r="N22" s="11"/>
      <c r="O22" s="11"/>
      <c r="P22" s="11"/>
    </row>
    <row r="23" spans="1:16" x14ac:dyDescent="0.35">
      <c r="A23" s="7" t="s">
        <v>18</v>
      </c>
      <c r="C23" s="1" t="s">
        <v>3</v>
      </c>
      <c r="D23" s="2">
        <v>113</v>
      </c>
      <c r="G23" s="9"/>
      <c r="H23" s="9"/>
      <c r="M23" s="10"/>
      <c r="N23" s="11"/>
      <c r="O23" s="11"/>
      <c r="P23" s="11"/>
    </row>
    <row r="24" spans="1:16" x14ac:dyDescent="0.35">
      <c r="A24" s="7" t="s">
        <v>17</v>
      </c>
      <c r="B24" s="8">
        <v>43223</v>
      </c>
      <c r="G24" s="9"/>
      <c r="H24" s="9"/>
      <c r="I24" s="2">
        <v>176.72</v>
      </c>
      <c r="M24" s="10"/>
      <c r="N24" s="11"/>
      <c r="O24" s="11"/>
      <c r="P24" s="11"/>
    </row>
    <row r="25" spans="1:16" x14ac:dyDescent="0.35">
      <c r="A25" s="7" t="s">
        <v>18</v>
      </c>
      <c r="B25" s="8">
        <v>43223</v>
      </c>
      <c r="G25" s="9"/>
      <c r="H25" s="9"/>
      <c r="I25" s="2">
        <v>176.72</v>
      </c>
      <c r="M25" s="10"/>
      <c r="N25" s="11"/>
      <c r="O25" s="11"/>
      <c r="P25" s="11"/>
    </row>
    <row r="26" spans="1:16" x14ac:dyDescent="0.35">
      <c r="A26" s="7" t="s">
        <v>17</v>
      </c>
      <c r="B26" s="8">
        <v>43138</v>
      </c>
      <c r="G26" s="9"/>
      <c r="H26" s="9"/>
      <c r="L26" s="2">
        <v>505</v>
      </c>
      <c r="M26" s="10"/>
      <c r="N26" s="11"/>
      <c r="O26" s="11"/>
      <c r="P26" s="11"/>
    </row>
    <row r="27" spans="1:16" x14ac:dyDescent="0.35">
      <c r="A27" s="7" t="s">
        <v>18</v>
      </c>
      <c r="B27" s="8">
        <v>43138</v>
      </c>
      <c r="G27" s="9"/>
      <c r="H27" s="9"/>
      <c r="L27" s="2">
        <v>512</v>
      </c>
      <c r="M27" s="10"/>
      <c r="N27" s="11"/>
      <c r="O27" s="11"/>
      <c r="P27" s="11"/>
    </row>
    <row r="28" spans="1:16" x14ac:dyDescent="0.35">
      <c r="A28" s="7" t="s">
        <v>17</v>
      </c>
      <c r="B28" s="8">
        <v>43152</v>
      </c>
      <c r="G28" s="9"/>
      <c r="H28" s="9"/>
      <c r="L28" s="2">
        <v>927</v>
      </c>
      <c r="M28" s="10"/>
      <c r="N28" s="11"/>
      <c r="O28" s="11"/>
      <c r="P28" s="11"/>
    </row>
    <row r="29" spans="1:16" x14ac:dyDescent="0.35">
      <c r="A29" s="7" t="s">
        <v>18</v>
      </c>
      <c r="B29" s="8">
        <v>43152</v>
      </c>
      <c r="G29" s="9"/>
      <c r="H29" s="9"/>
      <c r="L29" s="2">
        <v>987</v>
      </c>
      <c r="M29" s="10"/>
      <c r="N29" s="11"/>
      <c r="O29" s="11"/>
      <c r="P29" s="11"/>
    </row>
    <row r="30" spans="1:16" x14ac:dyDescent="0.35">
      <c r="A30" s="7" t="s">
        <v>17</v>
      </c>
      <c r="B30" s="8">
        <v>43159</v>
      </c>
      <c r="G30" s="9"/>
      <c r="H30" s="9"/>
      <c r="L30" s="2">
        <v>1212</v>
      </c>
      <c r="M30" s="10"/>
      <c r="N30" s="11"/>
      <c r="O30" s="11"/>
      <c r="P30" s="11"/>
    </row>
    <row r="31" spans="1:16" x14ac:dyDescent="0.35">
      <c r="A31" s="7" t="s">
        <v>18</v>
      </c>
      <c r="B31" s="8">
        <v>43159</v>
      </c>
      <c r="G31" s="9"/>
      <c r="H31" s="9"/>
      <c r="L31" s="2">
        <v>1165</v>
      </c>
      <c r="M31" s="10"/>
      <c r="N31" s="11"/>
      <c r="O31" s="11"/>
      <c r="P31" s="11"/>
    </row>
    <row r="32" spans="1:16" x14ac:dyDescent="0.35">
      <c r="A32" s="7" t="s">
        <v>17</v>
      </c>
      <c r="B32" s="8">
        <v>43165</v>
      </c>
      <c r="G32" s="9"/>
      <c r="H32" s="9"/>
      <c r="L32" s="2">
        <v>1300</v>
      </c>
      <c r="M32" s="10"/>
      <c r="N32" s="11"/>
      <c r="O32" s="11"/>
      <c r="P32" s="11"/>
    </row>
    <row r="33" spans="1:16" x14ac:dyDescent="0.35">
      <c r="A33" s="7" t="s">
        <v>18</v>
      </c>
      <c r="B33" s="8">
        <v>43165</v>
      </c>
      <c r="G33" s="9"/>
      <c r="H33" s="9"/>
      <c r="L33" s="2">
        <v>1292</v>
      </c>
      <c r="M33" s="10"/>
      <c r="N33" s="11"/>
      <c r="O33" s="11"/>
      <c r="P33" s="11"/>
    </row>
    <row r="34" spans="1:16" x14ac:dyDescent="0.35">
      <c r="A34" s="7" t="s">
        <v>17</v>
      </c>
      <c r="B34" s="8">
        <v>43203</v>
      </c>
      <c r="G34" s="9"/>
      <c r="H34" s="9"/>
      <c r="L34" s="2">
        <v>1330</v>
      </c>
      <c r="M34" s="10"/>
      <c r="N34" s="11"/>
      <c r="O34" s="11"/>
      <c r="P34" s="11"/>
    </row>
    <row r="35" spans="1:16" x14ac:dyDescent="0.35">
      <c r="A35" s="7" t="s">
        <v>18</v>
      </c>
      <c r="B35" s="8">
        <v>43203</v>
      </c>
      <c r="G35" s="9"/>
      <c r="H35" s="9"/>
      <c r="L35" s="2">
        <v>1272</v>
      </c>
      <c r="M35" s="10"/>
      <c r="N35" s="11"/>
      <c r="O35" s="11"/>
      <c r="P35" s="11"/>
    </row>
    <row r="36" spans="1:16" x14ac:dyDescent="0.35">
      <c r="A36" s="7" t="s">
        <v>17</v>
      </c>
      <c r="B36" s="8">
        <v>43223</v>
      </c>
      <c r="G36" s="9"/>
      <c r="H36" s="9"/>
      <c r="L36" s="2">
        <v>1325</v>
      </c>
      <c r="M36" s="10"/>
      <c r="N36" s="11"/>
      <c r="O36" s="11"/>
      <c r="P36" s="11"/>
    </row>
    <row r="37" spans="1:16" x14ac:dyDescent="0.35">
      <c r="A37" s="7" t="s">
        <v>18</v>
      </c>
      <c r="B37" s="8">
        <v>43223</v>
      </c>
      <c r="G37" s="9"/>
      <c r="H37" s="9"/>
      <c r="L37" s="2">
        <v>1242</v>
      </c>
      <c r="M37" s="10"/>
      <c r="N37" s="11"/>
      <c r="O37" s="11"/>
      <c r="P37" s="11"/>
    </row>
    <row r="38" spans="1:16" x14ac:dyDescent="0.35">
      <c r="A38" s="7" t="s">
        <v>17</v>
      </c>
      <c r="B38" s="8">
        <v>43203</v>
      </c>
      <c r="G38" s="9">
        <f>SUM(N38:P38)</f>
        <v>1536.7</v>
      </c>
      <c r="H38" s="9"/>
      <c r="M38" s="10"/>
      <c r="N38" s="11">
        <v>94.7</v>
      </c>
      <c r="O38" s="11">
        <f>545.1</f>
        <v>545.1</v>
      </c>
      <c r="P38" s="11">
        <f>896.9</f>
        <v>896.9</v>
      </c>
    </row>
    <row r="39" spans="1:16" x14ac:dyDescent="0.35">
      <c r="A39" s="7" t="s">
        <v>18</v>
      </c>
      <c r="B39" s="8">
        <v>43203</v>
      </c>
      <c r="G39" s="9">
        <f>SUM(N39:P39)</f>
        <v>1763.1</v>
      </c>
      <c r="H39" s="9"/>
      <c r="M39" s="10"/>
      <c r="N39" s="11">
        <v>101.9</v>
      </c>
      <c r="O39" s="11">
        <f>599</f>
        <v>599</v>
      </c>
      <c r="P39" s="11">
        <f>1062.2</f>
        <v>1062.2</v>
      </c>
    </row>
    <row r="40" spans="1:16" x14ac:dyDescent="0.35">
      <c r="A40" s="7" t="s">
        <v>17</v>
      </c>
      <c r="B40" s="8">
        <v>43223</v>
      </c>
      <c r="G40" s="9"/>
      <c r="H40" s="9"/>
      <c r="I40" s="2">
        <v>188.75200000000001</v>
      </c>
      <c r="M40" s="10"/>
      <c r="N40" s="11"/>
      <c r="O40" s="11"/>
      <c r="P40" s="11"/>
    </row>
    <row r="41" spans="1:16" x14ac:dyDescent="0.35">
      <c r="A41" s="7" t="s">
        <v>18</v>
      </c>
      <c r="B41" s="8">
        <v>43223</v>
      </c>
      <c r="G41" s="9"/>
      <c r="H41" s="9"/>
      <c r="I41" s="2">
        <v>175.404</v>
      </c>
      <c r="M41" s="10"/>
      <c r="N41" s="11"/>
      <c r="O41" s="11"/>
      <c r="P41" s="11"/>
    </row>
    <row r="42" spans="1:16" x14ac:dyDescent="0.35">
      <c r="A42" s="7" t="s">
        <v>5</v>
      </c>
      <c r="C42" s="1" t="s">
        <v>4</v>
      </c>
      <c r="D42" s="9">
        <v>5</v>
      </c>
      <c r="E42" s="9"/>
      <c r="F42" s="9"/>
      <c r="G42" s="9"/>
      <c r="H42" s="9"/>
      <c r="N42" s="11"/>
      <c r="O42" s="11"/>
      <c r="P42" s="11"/>
    </row>
    <row r="43" spans="1:16" x14ac:dyDescent="0.35">
      <c r="A43" s="7" t="s">
        <v>5</v>
      </c>
      <c r="C43" s="1" t="s">
        <v>6</v>
      </c>
      <c r="D43" s="9">
        <v>40</v>
      </c>
      <c r="E43" s="9"/>
      <c r="F43" s="9"/>
      <c r="G43" s="9"/>
      <c r="H43" s="9"/>
      <c r="N43" s="11"/>
      <c r="O43" s="11"/>
      <c r="P43" s="11"/>
    </row>
    <row r="44" spans="1:16" x14ac:dyDescent="0.35">
      <c r="A44" s="7" t="s">
        <v>5</v>
      </c>
      <c r="C44" s="1" t="s">
        <v>7</v>
      </c>
      <c r="D44" s="9">
        <v>45</v>
      </c>
      <c r="E44" s="9"/>
      <c r="F44" s="9"/>
      <c r="G44" s="9"/>
      <c r="H44" s="9"/>
      <c r="N44" s="11"/>
      <c r="O44" s="11"/>
      <c r="P44" s="11"/>
    </row>
    <row r="45" spans="1:16" x14ac:dyDescent="0.35">
      <c r="A45" s="7" t="s">
        <v>5</v>
      </c>
      <c r="C45" s="1" t="s">
        <v>8</v>
      </c>
      <c r="D45" s="9">
        <v>50</v>
      </c>
      <c r="E45" s="9"/>
      <c r="F45" s="9"/>
      <c r="G45" s="9"/>
      <c r="H45" s="9"/>
      <c r="N45" s="11"/>
      <c r="O45" s="11"/>
      <c r="P45" s="11"/>
    </row>
    <row r="46" spans="1:16" x14ac:dyDescent="0.35">
      <c r="A46" s="7" t="s">
        <v>5</v>
      </c>
      <c r="C46" s="1" t="s">
        <v>9</v>
      </c>
      <c r="D46" s="9">
        <v>65</v>
      </c>
      <c r="E46" s="9"/>
      <c r="F46" s="9"/>
      <c r="G46" s="9"/>
      <c r="H46" s="9"/>
      <c r="N46" s="11"/>
      <c r="O46" s="11"/>
      <c r="P46" s="11"/>
    </row>
    <row r="47" spans="1:16" x14ac:dyDescent="0.35">
      <c r="A47" s="7" t="s">
        <v>5</v>
      </c>
      <c r="C47" s="1" t="s">
        <v>10</v>
      </c>
      <c r="D47" s="9">
        <v>75</v>
      </c>
      <c r="E47" s="9"/>
      <c r="F47" s="9"/>
      <c r="G47" s="9"/>
      <c r="H47" s="9"/>
      <c r="N47" s="11"/>
      <c r="O47" s="11"/>
      <c r="P47" s="11"/>
    </row>
    <row r="48" spans="1:16" x14ac:dyDescent="0.35">
      <c r="A48" s="7" t="s">
        <v>5</v>
      </c>
      <c r="C48" s="1" t="s">
        <v>11</v>
      </c>
      <c r="D48" s="9">
        <v>93</v>
      </c>
      <c r="E48" s="9"/>
      <c r="F48" s="9"/>
      <c r="G48" s="9"/>
      <c r="H48" s="9"/>
      <c r="N48" s="11"/>
      <c r="O48" s="11"/>
      <c r="P48" s="11"/>
    </row>
    <row r="49" spans="1:16" x14ac:dyDescent="0.35">
      <c r="A49" s="7" t="s">
        <v>5</v>
      </c>
      <c r="C49" s="1" t="s">
        <v>3</v>
      </c>
      <c r="D49" s="9">
        <v>97</v>
      </c>
      <c r="E49" s="9"/>
      <c r="F49" s="9"/>
      <c r="G49" s="9"/>
      <c r="H49" s="9"/>
      <c r="N49" s="11"/>
      <c r="O49" s="11"/>
      <c r="P49" s="11"/>
    </row>
    <row r="50" spans="1:16" x14ac:dyDescent="0.35">
      <c r="A50" s="7" t="s">
        <v>5</v>
      </c>
      <c r="C50" s="1" t="s">
        <v>12</v>
      </c>
      <c r="D50" s="9">
        <v>108</v>
      </c>
      <c r="E50" s="9"/>
      <c r="F50" s="9"/>
      <c r="G50" s="9"/>
      <c r="H50" s="9"/>
      <c r="N50" s="11"/>
      <c r="O50" s="11"/>
      <c r="P50" s="11"/>
    </row>
    <row r="51" spans="1:16" s="5" customFormat="1" x14ac:dyDescent="0.35">
      <c r="A51" s="5" t="s">
        <v>20</v>
      </c>
      <c r="B51" s="12">
        <v>45553</v>
      </c>
      <c r="C51" s="5" t="s">
        <v>19</v>
      </c>
      <c r="D51" s="5">
        <v>208</v>
      </c>
      <c r="E51" s="5">
        <v>11</v>
      </c>
      <c r="F51" s="5">
        <v>5</v>
      </c>
      <c r="G51" s="5">
        <v>408.5</v>
      </c>
      <c r="H51" s="5">
        <v>113</v>
      </c>
      <c r="I51" s="5">
        <v>33.1</v>
      </c>
      <c r="J51" s="5">
        <v>13.1</v>
      </c>
      <c r="K51" s="5">
        <v>3.1</v>
      </c>
      <c r="L51" s="5">
        <v>92.3</v>
      </c>
    </row>
    <row r="52" spans="1:16" x14ac:dyDescent="0.35">
      <c r="A52" s="2" t="s">
        <v>31</v>
      </c>
      <c r="B52" s="8">
        <v>45553</v>
      </c>
      <c r="C52" s="2" t="s">
        <v>19</v>
      </c>
      <c r="D52" s="2">
        <v>208</v>
      </c>
      <c r="E52" s="2">
        <v>12.8</v>
      </c>
      <c r="F52" s="2">
        <v>7.5</v>
      </c>
      <c r="G52" s="2">
        <v>455.6</v>
      </c>
      <c r="H52" s="2">
        <v>166</v>
      </c>
      <c r="I52" s="2">
        <v>48.2</v>
      </c>
      <c r="J52" s="2">
        <v>20.8</v>
      </c>
      <c r="K52" s="2">
        <v>2.9</v>
      </c>
      <c r="L52" s="2">
        <v>88</v>
      </c>
    </row>
    <row r="53" spans="1:16" x14ac:dyDescent="0.35">
      <c r="A53" s="2" t="s">
        <v>22</v>
      </c>
      <c r="B53" s="8">
        <v>45440</v>
      </c>
      <c r="C53" s="2" t="s">
        <v>19</v>
      </c>
      <c r="D53" s="2">
        <v>110</v>
      </c>
      <c r="E53" s="2">
        <v>10.3</v>
      </c>
      <c r="F53" s="2">
        <v>3.5</v>
      </c>
      <c r="G53" s="2">
        <v>328</v>
      </c>
      <c r="H53" s="2">
        <v>33.5</v>
      </c>
      <c r="I53" s="2">
        <v>49.9</v>
      </c>
      <c r="J53" s="2">
        <v>17.600000000000001</v>
      </c>
      <c r="K53" s="2">
        <v>3.2</v>
      </c>
      <c r="L53" s="2">
        <v>97.6</v>
      </c>
    </row>
    <row r="54" spans="1:16" x14ac:dyDescent="0.35">
      <c r="A54" s="2" t="s">
        <v>23</v>
      </c>
      <c r="B54" s="8">
        <v>45440</v>
      </c>
      <c r="C54" s="2" t="s">
        <v>19</v>
      </c>
      <c r="D54" s="2">
        <v>110</v>
      </c>
      <c r="E54" s="2">
        <v>13</v>
      </c>
      <c r="F54" s="2">
        <v>2</v>
      </c>
      <c r="G54" s="2">
        <v>255</v>
      </c>
      <c r="H54" s="2">
        <v>1</v>
      </c>
      <c r="I54" s="2">
        <v>43.3</v>
      </c>
      <c r="J54" s="2">
        <v>1.8</v>
      </c>
      <c r="K54" s="2">
        <v>3</v>
      </c>
      <c r="L54" s="2">
        <v>78.400000000000006</v>
      </c>
    </row>
    <row r="55" spans="1:16" x14ac:dyDescent="0.35">
      <c r="A55" s="2" t="s">
        <v>33</v>
      </c>
      <c r="B55" s="8">
        <v>45440</v>
      </c>
      <c r="C55" s="2" t="s">
        <v>19</v>
      </c>
      <c r="D55" s="2">
        <v>110</v>
      </c>
      <c r="E55" s="2">
        <v>14.4</v>
      </c>
      <c r="F55" s="2">
        <v>2.5</v>
      </c>
      <c r="G55" s="2">
        <v>337</v>
      </c>
      <c r="H55" s="2">
        <v>21.5</v>
      </c>
      <c r="I55" s="2">
        <v>76.7</v>
      </c>
      <c r="J55" s="2">
        <v>16.100000000000001</v>
      </c>
      <c r="K55" s="2">
        <v>3.5</v>
      </c>
      <c r="L55" s="2">
        <v>98.7</v>
      </c>
    </row>
    <row r="56" spans="1:16" x14ac:dyDescent="0.35">
      <c r="A56" s="2" t="s">
        <v>35</v>
      </c>
      <c r="B56" s="8">
        <v>45440</v>
      </c>
      <c r="C56" s="2" t="s">
        <v>19</v>
      </c>
      <c r="D56" s="2">
        <v>110</v>
      </c>
      <c r="E56" s="2">
        <v>12.8</v>
      </c>
      <c r="F56" s="2">
        <v>0.75</v>
      </c>
      <c r="G56" s="2">
        <v>196</v>
      </c>
      <c r="H56" s="2">
        <v>52</v>
      </c>
      <c r="I56" s="2">
        <v>47.9</v>
      </c>
      <c r="J56" s="2">
        <v>16.8</v>
      </c>
      <c r="K56" s="2">
        <v>4.5999999999999996</v>
      </c>
      <c r="L56" s="2">
        <v>65.2</v>
      </c>
    </row>
    <row r="57" spans="1:16" x14ac:dyDescent="0.35">
      <c r="A57" s="2" t="s">
        <v>21</v>
      </c>
      <c r="B57" s="8">
        <v>45399</v>
      </c>
      <c r="C57" s="2" t="s">
        <v>19</v>
      </c>
      <c r="D57" s="2">
        <v>100</v>
      </c>
      <c r="E57" s="2">
        <v>5.2</v>
      </c>
      <c r="F57" s="2">
        <v>2.25</v>
      </c>
      <c r="G57" s="2">
        <v>396.7</v>
      </c>
      <c r="H57" s="2">
        <v>93</v>
      </c>
      <c r="I57" s="2">
        <v>77.400000000000006</v>
      </c>
      <c r="J57" s="2">
        <v>13.5</v>
      </c>
      <c r="K57" s="2">
        <v>4.3</v>
      </c>
      <c r="L57" s="2">
        <v>122.2</v>
      </c>
    </row>
    <row r="58" spans="1:16" x14ac:dyDescent="0.35">
      <c r="A58" s="2" t="s">
        <v>32</v>
      </c>
      <c r="B58" s="8">
        <v>45399</v>
      </c>
      <c r="C58" s="2" t="s">
        <v>19</v>
      </c>
      <c r="D58" s="2">
        <v>100</v>
      </c>
      <c r="E58" s="2">
        <v>4.8</v>
      </c>
      <c r="F58" s="2">
        <v>2</v>
      </c>
      <c r="G58" s="2">
        <v>319.7</v>
      </c>
      <c r="H58" s="2">
        <v>46.5</v>
      </c>
      <c r="I58" s="2">
        <v>75.5</v>
      </c>
      <c r="J58" s="2">
        <v>9.4</v>
      </c>
      <c r="K58" s="2">
        <v>4.2</v>
      </c>
      <c r="L58" s="2">
        <v>102.9</v>
      </c>
    </row>
    <row r="59" spans="1:16" x14ac:dyDescent="0.35">
      <c r="A59" s="2" t="s">
        <v>34</v>
      </c>
      <c r="B59" s="8">
        <v>45399</v>
      </c>
      <c r="C59" s="2" t="s">
        <v>19</v>
      </c>
      <c r="D59" s="2">
        <v>100</v>
      </c>
      <c r="E59" s="2">
        <v>3</v>
      </c>
      <c r="F59" s="2">
        <v>0</v>
      </c>
      <c r="G59" s="2">
        <v>288</v>
      </c>
      <c r="H59" s="2">
        <v>0</v>
      </c>
      <c r="I59" s="2">
        <v>49.3</v>
      </c>
      <c r="J59" s="2">
        <v>0</v>
      </c>
      <c r="K59" s="2">
        <v>5</v>
      </c>
      <c r="L59" s="2">
        <v>82.6</v>
      </c>
    </row>
    <row r="60" spans="1:16" x14ac:dyDescent="0.35">
      <c r="A60" s="2" t="s">
        <v>29</v>
      </c>
      <c r="B60" s="8">
        <v>45119</v>
      </c>
      <c r="C60" s="2" t="s">
        <v>19</v>
      </c>
      <c r="D60" s="2">
        <v>147</v>
      </c>
      <c r="E60" s="2">
        <v>21.7</v>
      </c>
      <c r="F60" s="2">
        <v>9.3000000000000007</v>
      </c>
      <c r="G60" s="2">
        <v>211</v>
      </c>
      <c r="H60" s="2">
        <v>75</v>
      </c>
      <c r="I60" s="2">
        <v>45.8</v>
      </c>
      <c r="J60" s="2">
        <v>15.3</v>
      </c>
      <c r="K60" s="2">
        <v>3.6</v>
      </c>
      <c r="L60" s="2">
        <v>54</v>
      </c>
    </row>
    <row r="61" spans="1:16" x14ac:dyDescent="0.35">
      <c r="A61" s="2" t="s">
        <v>36</v>
      </c>
      <c r="B61" s="8">
        <v>45091</v>
      </c>
      <c r="C61" s="2" t="s">
        <v>19</v>
      </c>
      <c r="D61" s="2">
        <v>119</v>
      </c>
      <c r="E61" s="2">
        <v>24.1</v>
      </c>
      <c r="F61" s="2">
        <v>11.7</v>
      </c>
      <c r="G61" s="2">
        <v>267</v>
      </c>
      <c r="H61" s="2">
        <v>191</v>
      </c>
      <c r="I61" s="2">
        <v>63.6</v>
      </c>
      <c r="J61" s="2">
        <v>30.9</v>
      </c>
      <c r="K61" s="2">
        <v>3.2</v>
      </c>
      <c r="L61" s="2">
        <v>58.6</v>
      </c>
    </row>
    <row r="62" spans="1:16" x14ac:dyDescent="0.35">
      <c r="A62" s="2" t="s">
        <v>30</v>
      </c>
      <c r="B62" s="8">
        <v>45264</v>
      </c>
      <c r="C62" s="2" t="s">
        <v>19</v>
      </c>
      <c r="D62" s="2">
        <v>171</v>
      </c>
      <c r="E62" s="2">
        <v>10.8</v>
      </c>
      <c r="F62" s="2">
        <v>4.5</v>
      </c>
      <c r="G62" s="2">
        <v>435</v>
      </c>
      <c r="H62" s="2">
        <v>135</v>
      </c>
      <c r="I62" s="2">
        <v>67.099999999999994</v>
      </c>
      <c r="J62" s="2">
        <v>31.4</v>
      </c>
      <c r="K62" s="2">
        <v>6</v>
      </c>
      <c r="L62" s="2">
        <v>98</v>
      </c>
    </row>
    <row r="63" spans="1:16" x14ac:dyDescent="0.35">
      <c r="A63" s="2" t="s">
        <v>37</v>
      </c>
      <c r="B63" s="8">
        <v>45264</v>
      </c>
      <c r="C63" s="2" t="s">
        <v>19</v>
      </c>
      <c r="D63" s="2">
        <v>171</v>
      </c>
      <c r="E63" s="2">
        <v>10.4</v>
      </c>
      <c r="F63" s="2">
        <v>4.5</v>
      </c>
      <c r="G63" s="2">
        <v>427.5</v>
      </c>
      <c r="H63" s="2">
        <v>120</v>
      </c>
      <c r="I63" s="2">
        <v>57.9</v>
      </c>
      <c r="J63" s="2">
        <v>31.6</v>
      </c>
      <c r="K63" s="2">
        <v>5.9</v>
      </c>
      <c r="L63" s="2">
        <v>99.1</v>
      </c>
    </row>
    <row r="64" spans="1:16" x14ac:dyDescent="0.35">
      <c r="A64" s="2" t="s">
        <v>39</v>
      </c>
      <c r="B64" s="8">
        <v>45526</v>
      </c>
      <c r="C64" s="2" t="s">
        <v>19</v>
      </c>
      <c r="D64" s="2">
        <v>177</v>
      </c>
      <c r="E64" s="2">
        <v>8.6999999999999993</v>
      </c>
      <c r="F64" s="2">
        <v>3.85</v>
      </c>
      <c r="G64" s="2">
        <v>506.5</v>
      </c>
      <c r="H64" s="2">
        <v>247.5</v>
      </c>
      <c r="I64" s="2">
        <v>37.799999999999997</v>
      </c>
      <c r="J64" s="2">
        <v>7.8</v>
      </c>
      <c r="K64" s="2">
        <v>3.4</v>
      </c>
      <c r="L64" s="2">
        <v>811.1</v>
      </c>
    </row>
    <row r="65" spans="1:12" x14ac:dyDescent="0.35">
      <c r="A65" s="2" t="s">
        <v>38</v>
      </c>
      <c r="B65" s="8">
        <v>45526</v>
      </c>
      <c r="C65" s="2" t="s">
        <v>19</v>
      </c>
      <c r="D65" s="2">
        <v>177</v>
      </c>
      <c r="E65" s="2">
        <v>9.1999999999999993</v>
      </c>
      <c r="F65" s="2">
        <v>7.15</v>
      </c>
      <c r="G65" s="2">
        <v>270.39999999999998</v>
      </c>
      <c r="H65" s="2">
        <v>220</v>
      </c>
      <c r="I65" s="2">
        <v>46.7</v>
      </c>
      <c r="J65" s="2">
        <v>25.8</v>
      </c>
      <c r="K65" s="2">
        <v>3.3</v>
      </c>
      <c r="L65" s="2">
        <v>890</v>
      </c>
    </row>
    <row r="66" spans="1:12" x14ac:dyDescent="0.35">
      <c r="A66" s="2" t="s">
        <v>41</v>
      </c>
      <c r="B66" s="8">
        <v>45601</v>
      </c>
      <c r="C66" s="2" t="s">
        <v>19</v>
      </c>
      <c r="D66" s="2">
        <v>181</v>
      </c>
      <c r="E66" s="2">
        <v>5.6</v>
      </c>
      <c r="F66" s="2">
        <v>2.4700000000000002</v>
      </c>
      <c r="G66" s="2">
        <v>192.5</v>
      </c>
      <c r="H66" s="2">
        <v>55</v>
      </c>
      <c r="I66" s="2">
        <v>17</v>
      </c>
      <c r="J66" s="2">
        <v>8.1999999999999993</v>
      </c>
      <c r="K66" s="2">
        <v>3.3</v>
      </c>
      <c r="L66" s="2">
        <v>828.8</v>
      </c>
    </row>
    <row r="67" spans="1:12" x14ac:dyDescent="0.35">
      <c r="A67" s="2" t="s">
        <v>40</v>
      </c>
      <c r="B67" s="8">
        <v>45601</v>
      </c>
      <c r="C67" s="2" t="s">
        <v>19</v>
      </c>
      <c r="D67" s="2">
        <v>181</v>
      </c>
      <c r="E67" s="2">
        <v>12.3</v>
      </c>
      <c r="F67" s="2">
        <v>8.8000000000000007</v>
      </c>
      <c r="G67" s="2">
        <v>216.6</v>
      </c>
      <c r="H67" s="2">
        <v>55</v>
      </c>
      <c r="I67" s="2">
        <v>29.1</v>
      </c>
      <c r="J67" s="2">
        <v>9</v>
      </c>
      <c r="K67" s="2">
        <v>3.3</v>
      </c>
      <c r="L67" s="2">
        <v>812</v>
      </c>
    </row>
    <row r="68" spans="1:12" x14ac:dyDescent="0.35">
      <c r="A68" s="2" t="s">
        <v>42</v>
      </c>
      <c r="B68" s="8">
        <v>45582</v>
      </c>
      <c r="C68" s="2" t="s">
        <v>19</v>
      </c>
      <c r="D68" s="2">
        <v>162</v>
      </c>
      <c r="E68" s="2">
        <v>12.7</v>
      </c>
      <c r="F68" s="2">
        <v>5.22</v>
      </c>
      <c r="G68" s="2">
        <v>276.8</v>
      </c>
      <c r="H68" s="2">
        <v>140.6</v>
      </c>
      <c r="I68" s="2">
        <v>19.7</v>
      </c>
      <c r="J68" s="2">
        <v>6.1</v>
      </c>
      <c r="K68" s="2">
        <v>1.7</v>
      </c>
      <c r="L68" s="2">
        <v>795.6</v>
      </c>
    </row>
    <row r="69" spans="1:12" x14ac:dyDescent="0.35">
      <c r="A69" s="2" t="s">
        <v>44</v>
      </c>
      <c r="B69" s="8">
        <v>45231</v>
      </c>
      <c r="C69" s="2" t="s">
        <v>19</v>
      </c>
      <c r="D69" s="2">
        <v>167</v>
      </c>
      <c r="E69" s="2">
        <v>10.199999999999999</v>
      </c>
      <c r="F69" s="2">
        <v>5.42</v>
      </c>
      <c r="G69" s="2">
        <v>559.1</v>
      </c>
      <c r="H69" s="2">
        <v>37.6</v>
      </c>
      <c r="I69" s="2">
        <v>97.6</v>
      </c>
      <c r="J69" s="2">
        <v>18</v>
      </c>
      <c r="K69" s="2">
        <v>4.3</v>
      </c>
      <c r="L69" s="2">
        <v>121.6</v>
      </c>
    </row>
    <row r="70" spans="1:12" x14ac:dyDescent="0.35">
      <c r="A70" s="2" t="s">
        <v>43</v>
      </c>
      <c r="B70" s="8">
        <v>45217</v>
      </c>
      <c r="C70" s="2" t="s">
        <v>19</v>
      </c>
      <c r="D70" s="2">
        <v>153</v>
      </c>
      <c r="E70" s="2">
        <v>5.0999999999999996</v>
      </c>
      <c r="F70" s="2">
        <v>3.06</v>
      </c>
      <c r="G70" s="2">
        <v>553.6</v>
      </c>
      <c r="H70" s="2">
        <v>122</v>
      </c>
      <c r="I70" s="2">
        <v>71</v>
      </c>
      <c r="J70" s="2">
        <v>26</v>
      </c>
      <c r="K70" s="2">
        <v>7.3</v>
      </c>
      <c r="L70" s="2">
        <v>116.1</v>
      </c>
    </row>
    <row r="71" spans="1:12" x14ac:dyDescent="0.35">
      <c r="A71" s="2" t="s">
        <v>54</v>
      </c>
      <c r="B71" s="8">
        <v>45726</v>
      </c>
      <c r="C71" s="2" t="s">
        <v>19</v>
      </c>
      <c r="D71" s="2">
        <v>88</v>
      </c>
      <c r="E71" s="2">
        <v>16.7</v>
      </c>
      <c r="F71" s="2">
        <v>0</v>
      </c>
      <c r="G71" s="2">
        <v>394.4</v>
      </c>
      <c r="H71" s="2">
        <v>0</v>
      </c>
      <c r="I71" s="2">
        <v>54.8</v>
      </c>
      <c r="J71" s="2">
        <v>0</v>
      </c>
      <c r="K71" s="2">
        <v>2.6</v>
      </c>
      <c r="L71" s="2">
        <v>122</v>
      </c>
    </row>
    <row r="72" spans="1:12" x14ac:dyDescent="0.35">
      <c r="A72" s="2" t="s">
        <v>56</v>
      </c>
      <c r="B72" s="8">
        <v>45723</v>
      </c>
      <c r="C72" s="2" t="s">
        <v>19</v>
      </c>
      <c r="D72" s="2">
        <v>85</v>
      </c>
      <c r="E72" s="2">
        <v>26.7</v>
      </c>
      <c r="F72" s="2">
        <v>5</v>
      </c>
      <c r="G72" s="2">
        <v>654.4</v>
      </c>
      <c r="H72" s="2">
        <v>113.9</v>
      </c>
      <c r="I72" s="2">
        <v>75.8</v>
      </c>
      <c r="J72" s="2">
        <v>32.799999999999997</v>
      </c>
      <c r="K72" s="2">
        <v>3.1</v>
      </c>
      <c r="L72" s="2">
        <v>127.3</v>
      </c>
    </row>
    <row r="73" spans="1:12" x14ac:dyDescent="0.35">
      <c r="A73" s="2" t="s">
        <v>58</v>
      </c>
      <c r="B73" s="8">
        <v>45723</v>
      </c>
      <c r="C73" s="2" t="s">
        <v>19</v>
      </c>
      <c r="D73" s="2">
        <v>85</v>
      </c>
      <c r="E73" s="2">
        <v>18.600000000000001</v>
      </c>
      <c r="F73" s="2">
        <v>4.4400000000000004</v>
      </c>
      <c r="G73" s="2">
        <v>576.4</v>
      </c>
      <c r="H73" s="2">
        <v>105.6</v>
      </c>
      <c r="I73" s="2">
        <v>48.6</v>
      </c>
      <c r="J73" s="2">
        <v>14.3</v>
      </c>
      <c r="K73" s="2">
        <v>3.3</v>
      </c>
      <c r="L73" s="2">
        <v>119.2</v>
      </c>
    </row>
    <row r="74" spans="1:12" x14ac:dyDescent="0.35">
      <c r="A74" s="2" t="s">
        <v>59</v>
      </c>
      <c r="B74" s="8">
        <v>45723</v>
      </c>
      <c r="C74" s="2" t="s">
        <v>19</v>
      </c>
      <c r="D74" s="2">
        <v>85</v>
      </c>
      <c r="E74" s="2">
        <v>17.3</v>
      </c>
      <c r="F74" s="2">
        <v>3.33</v>
      </c>
      <c r="G74" s="2">
        <v>661.1</v>
      </c>
      <c r="H74" s="2">
        <v>58.3</v>
      </c>
      <c r="I74" s="2">
        <v>90.8</v>
      </c>
      <c r="J74" s="2">
        <v>28.4</v>
      </c>
      <c r="K74" s="2">
        <v>4.2</v>
      </c>
      <c r="L74" s="2">
        <v>123.2</v>
      </c>
    </row>
    <row r="75" spans="1:12" x14ac:dyDescent="0.35">
      <c r="A75" s="2" t="s">
        <v>57</v>
      </c>
      <c r="B75" s="8">
        <v>45723</v>
      </c>
      <c r="C75" s="2" t="s">
        <v>19</v>
      </c>
      <c r="D75" s="2">
        <v>85</v>
      </c>
      <c r="E75" s="2">
        <v>20.8</v>
      </c>
      <c r="F75" s="2">
        <v>13.89</v>
      </c>
      <c r="G75" s="2">
        <v>677.8</v>
      </c>
      <c r="H75" s="2">
        <v>127.8</v>
      </c>
      <c r="I75" s="2">
        <v>85.4</v>
      </c>
      <c r="J75" s="2">
        <v>30.7</v>
      </c>
      <c r="K75" s="2">
        <v>3.7</v>
      </c>
      <c r="L75" s="2">
        <v>118.1</v>
      </c>
    </row>
    <row r="76" spans="1:12" x14ac:dyDescent="0.35">
      <c r="A76" s="2" t="s">
        <v>55</v>
      </c>
      <c r="B76" s="8">
        <v>45644</v>
      </c>
      <c r="C76" s="2" t="s">
        <v>19</v>
      </c>
      <c r="D76" s="2">
        <v>77</v>
      </c>
      <c r="E76" s="2">
        <v>10.6</v>
      </c>
      <c r="F76" s="2">
        <v>3.33</v>
      </c>
      <c r="G76" s="2">
        <v>400.3</v>
      </c>
      <c r="H76" s="2">
        <v>95.8</v>
      </c>
      <c r="I76" s="2">
        <v>109.9</v>
      </c>
      <c r="J76" s="2">
        <v>31.2</v>
      </c>
      <c r="K76" s="2">
        <v>1.5</v>
      </c>
      <c r="L76" s="2">
        <v>99.6</v>
      </c>
    </row>
    <row r="77" spans="1:12" x14ac:dyDescent="0.35">
      <c r="A77" s="2" t="s">
        <v>60</v>
      </c>
      <c r="B77" s="8">
        <v>45666</v>
      </c>
      <c r="C77" s="2" t="s">
        <v>19</v>
      </c>
      <c r="D77" s="2">
        <v>99</v>
      </c>
      <c r="E77" s="2">
        <v>14.1</v>
      </c>
      <c r="F77" s="2">
        <v>2.36</v>
      </c>
      <c r="G77" s="2">
        <v>626.4</v>
      </c>
      <c r="H77" s="2">
        <v>173.6</v>
      </c>
      <c r="I77" s="2">
        <v>102.2</v>
      </c>
      <c r="J77" s="2">
        <v>58.3</v>
      </c>
      <c r="K77" s="2">
        <v>3.8</v>
      </c>
      <c r="L77" s="2">
        <v>116.4</v>
      </c>
    </row>
    <row r="78" spans="1:12" x14ac:dyDescent="0.35">
      <c r="A78" s="2" t="s">
        <v>24</v>
      </c>
      <c r="B78" s="8">
        <v>45295</v>
      </c>
      <c r="C78" s="2" t="s">
        <v>19</v>
      </c>
      <c r="D78" s="2">
        <v>189</v>
      </c>
      <c r="E78" s="2">
        <v>8.6</v>
      </c>
      <c r="F78" s="2">
        <v>2.89</v>
      </c>
      <c r="G78" s="2">
        <v>319.3</v>
      </c>
      <c r="H78" s="2">
        <v>60.5</v>
      </c>
      <c r="I78" s="2">
        <v>57.8</v>
      </c>
      <c r="J78" s="2">
        <v>3</v>
      </c>
      <c r="K78" s="2">
        <v>5.3</v>
      </c>
      <c r="L78" s="2">
        <v>99.8</v>
      </c>
    </row>
    <row r="79" spans="1:12" x14ac:dyDescent="0.35">
      <c r="A79" s="2" t="s">
        <v>25</v>
      </c>
      <c r="B79" s="8">
        <v>45295</v>
      </c>
      <c r="C79" s="2" t="s">
        <v>19</v>
      </c>
      <c r="D79" s="2">
        <v>189</v>
      </c>
      <c r="E79" s="2">
        <v>8.6999999999999993</v>
      </c>
      <c r="F79" s="2">
        <v>0.79</v>
      </c>
      <c r="G79" s="2">
        <v>254.2</v>
      </c>
      <c r="H79" s="2">
        <v>37.4</v>
      </c>
      <c r="I79" s="2">
        <v>43.4</v>
      </c>
      <c r="J79" s="2">
        <v>3.8</v>
      </c>
      <c r="K79" s="9">
        <v>3.5</v>
      </c>
      <c r="L79" s="2">
        <v>90.4</v>
      </c>
    </row>
    <row r="80" spans="1:12" x14ac:dyDescent="0.35">
      <c r="A80" s="2" t="s">
        <v>26</v>
      </c>
      <c r="B80" s="8">
        <v>45295</v>
      </c>
      <c r="C80" s="2" t="s">
        <v>19</v>
      </c>
      <c r="D80" s="2">
        <v>189</v>
      </c>
      <c r="E80" s="2">
        <v>10.8</v>
      </c>
      <c r="F80" s="2">
        <v>0.26</v>
      </c>
      <c r="G80" s="2">
        <v>313.7</v>
      </c>
      <c r="H80" s="2">
        <v>18.899999999999999</v>
      </c>
      <c r="I80" s="2">
        <v>54.5</v>
      </c>
      <c r="J80" s="2">
        <v>10.1</v>
      </c>
      <c r="K80" s="9">
        <v>4</v>
      </c>
      <c r="L80" s="2">
        <v>79.8</v>
      </c>
    </row>
    <row r="81" spans="1:12" x14ac:dyDescent="0.35">
      <c r="A81" s="2" t="s">
        <v>27</v>
      </c>
      <c r="B81" s="8">
        <v>45295</v>
      </c>
      <c r="C81" s="2" t="s">
        <v>19</v>
      </c>
      <c r="D81" s="2">
        <v>189</v>
      </c>
      <c r="E81" s="2">
        <v>8.6999999999999993</v>
      </c>
      <c r="F81" s="2">
        <v>2.89</v>
      </c>
      <c r="G81" s="2">
        <v>456.3</v>
      </c>
      <c r="H81" s="2">
        <v>173.7</v>
      </c>
      <c r="I81" s="2">
        <v>81.900000000000006</v>
      </c>
      <c r="J81" s="2">
        <v>32.4</v>
      </c>
      <c r="K81" s="9">
        <v>4</v>
      </c>
      <c r="L81" s="2">
        <v>101.6</v>
      </c>
    </row>
    <row r="82" spans="1:12" x14ac:dyDescent="0.35">
      <c r="A82" s="2" t="s">
        <v>49</v>
      </c>
      <c r="B82" s="8">
        <v>45272</v>
      </c>
      <c r="C82" s="2" t="s">
        <v>19</v>
      </c>
      <c r="D82" s="2">
        <v>166</v>
      </c>
      <c r="E82" s="2">
        <v>14.6</v>
      </c>
      <c r="F82" s="2">
        <v>10.79</v>
      </c>
      <c r="G82" s="2">
        <v>193.2</v>
      </c>
      <c r="H82" s="2">
        <v>94.7</v>
      </c>
      <c r="I82" s="2">
        <v>45.4</v>
      </c>
      <c r="J82" s="2">
        <v>23</v>
      </c>
      <c r="K82" s="9">
        <v>4.0999999999999996</v>
      </c>
      <c r="L82" s="2">
        <v>70.7</v>
      </c>
    </row>
    <row r="83" spans="1:12" x14ac:dyDescent="0.35">
      <c r="A83" s="2" t="s">
        <v>46</v>
      </c>
      <c r="B83" s="8">
        <v>45272</v>
      </c>
      <c r="C83" s="2" t="s">
        <v>19</v>
      </c>
      <c r="D83" s="2">
        <v>166</v>
      </c>
      <c r="E83" s="2">
        <v>16.2</v>
      </c>
      <c r="F83" s="2">
        <v>16.579999999999998</v>
      </c>
      <c r="G83" s="2">
        <v>265.5</v>
      </c>
      <c r="H83" s="2">
        <v>116.8</v>
      </c>
      <c r="I83" s="2">
        <v>50.2</v>
      </c>
      <c r="J83" s="2">
        <v>23.1</v>
      </c>
      <c r="K83" s="9">
        <v>4.7</v>
      </c>
      <c r="L83" s="2">
        <v>79.599999999999994</v>
      </c>
    </row>
    <row r="84" spans="1:12" x14ac:dyDescent="0.35">
      <c r="A84" s="2" t="s">
        <v>47</v>
      </c>
      <c r="B84" s="8">
        <v>45272</v>
      </c>
      <c r="C84" s="2" t="s">
        <v>19</v>
      </c>
      <c r="D84" s="2">
        <v>166</v>
      </c>
      <c r="E84" s="2">
        <v>8.1999999999999993</v>
      </c>
      <c r="F84" s="2">
        <v>4.21</v>
      </c>
      <c r="G84" s="2">
        <v>421.8</v>
      </c>
      <c r="H84" s="2">
        <v>68.900000000000006</v>
      </c>
      <c r="I84" s="2">
        <v>115.5</v>
      </c>
      <c r="J84" s="2">
        <v>29.2</v>
      </c>
      <c r="K84" s="9">
        <v>5.5</v>
      </c>
      <c r="L84" s="2">
        <v>99.9</v>
      </c>
    </row>
    <row r="85" spans="1:12" x14ac:dyDescent="0.35">
      <c r="A85" s="2" t="s">
        <v>48</v>
      </c>
      <c r="B85" s="8">
        <v>45272</v>
      </c>
      <c r="C85" s="2" t="s">
        <v>19</v>
      </c>
      <c r="D85" s="2">
        <v>166</v>
      </c>
      <c r="E85" s="2">
        <v>11.2</v>
      </c>
      <c r="F85" s="2">
        <v>7.11</v>
      </c>
      <c r="G85" s="2">
        <v>309.5</v>
      </c>
      <c r="H85" s="2">
        <v>112.1</v>
      </c>
      <c r="I85" s="2">
        <v>60.2</v>
      </c>
      <c r="J85" s="2">
        <v>31.4</v>
      </c>
      <c r="K85" s="9">
        <v>4.4000000000000004</v>
      </c>
      <c r="L85" s="2">
        <v>90.1</v>
      </c>
    </row>
    <row r="86" spans="1:12" x14ac:dyDescent="0.35">
      <c r="A86" s="2" t="s">
        <v>50</v>
      </c>
      <c r="B86" s="8">
        <v>45659</v>
      </c>
      <c r="C86" s="2" t="s">
        <v>19</v>
      </c>
      <c r="D86" s="2">
        <v>110</v>
      </c>
      <c r="E86" s="2">
        <v>26.7</v>
      </c>
      <c r="F86" s="2">
        <v>10.26</v>
      </c>
      <c r="G86" s="2">
        <v>217.5</v>
      </c>
      <c r="H86" s="2">
        <v>83.3</v>
      </c>
      <c r="I86" s="2">
        <v>26.6</v>
      </c>
      <c r="J86" s="2">
        <v>10.9</v>
      </c>
      <c r="K86" s="9">
        <v>2.6</v>
      </c>
      <c r="L86" s="2">
        <v>56.7</v>
      </c>
    </row>
    <row r="87" spans="1:12" x14ac:dyDescent="0.35">
      <c r="A87" s="2" t="s">
        <v>51</v>
      </c>
      <c r="B87" s="8">
        <v>45659</v>
      </c>
      <c r="C87" s="2" t="s">
        <v>19</v>
      </c>
      <c r="D87" s="2">
        <v>110</v>
      </c>
      <c r="E87" s="2">
        <v>16.7</v>
      </c>
      <c r="F87" s="2">
        <v>4.87</v>
      </c>
      <c r="G87" s="2">
        <v>201.9</v>
      </c>
      <c r="H87" s="2">
        <v>127</v>
      </c>
      <c r="I87" s="2">
        <v>25.9</v>
      </c>
      <c r="J87" s="2">
        <v>19.8</v>
      </c>
      <c r="K87" s="9">
        <v>3.3</v>
      </c>
      <c r="L87" s="2">
        <v>60</v>
      </c>
    </row>
    <row r="88" spans="1:12" x14ac:dyDescent="0.35">
      <c r="A88" s="2" t="s">
        <v>52</v>
      </c>
      <c r="B88" s="8">
        <v>45659</v>
      </c>
      <c r="C88" s="2" t="s">
        <v>19</v>
      </c>
      <c r="D88" s="2">
        <v>110</v>
      </c>
      <c r="E88" s="2">
        <v>13.2</v>
      </c>
      <c r="F88" s="2">
        <v>3.68</v>
      </c>
      <c r="G88" s="2">
        <v>64.8</v>
      </c>
      <c r="H88" s="2">
        <v>37</v>
      </c>
      <c r="I88" s="2">
        <v>10.199999999999999</v>
      </c>
      <c r="J88" s="2">
        <v>6.8</v>
      </c>
      <c r="K88" s="9">
        <v>1.3</v>
      </c>
      <c r="L88" s="2">
        <v>69.900000000000006</v>
      </c>
    </row>
    <row r="89" spans="1:12" x14ac:dyDescent="0.35">
      <c r="A89" s="2" t="s">
        <v>41</v>
      </c>
      <c r="C89" s="2" t="s">
        <v>53</v>
      </c>
      <c r="D89" s="2">
        <v>49</v>
      </c>
    </row>
    <row r="90" spans="1:12" x14ac:dyDescent="0.35">
      <c r="A90" s="2" t="s">
        <v>40</v>
      </c>
      <c r="C90" s="2" t="s">
        <v>53</v>
      </c>
      <c r="D90" s="2">
        <v>49</v>
      </c>
    </row>
    <row r="91" spans="1:12" x14ac:dyDescent="0.35">
      <c r="A91" s="2" t="s">
        <v>42</v>
      </c>
      <c r="C91" s="2" t="s">
        <v>53</v>
      </c>
      <c r="D91" s="2">
        <v>49</v>
      </c>
    </row>
    <row r="92" spans="1:12" s="5" customFormat="1" x14ac:dyDescent="0.35">
      <c r="A92" s="5" t="s">
        <v>20</v>
      </c>
      <c r="B92" s="12"/>
      <c r="C92" s="5" t="s">
        <v>6</v>
      </c>
      <c r="D92" s="5">
        <v>53</v>
      </c>
    </row>
    <row r="93" spans="1:12" x14ac:dyDescent="0.35">
      <c r="A93" s="2" t="s">
        <v>31</v>
      </c>
      <c r="C93" s="2" t="s">
        <v>6</v>
      </c>
      <c r="D93" s="2">
        <v>46</v>
      </c>
    </row>
    <row r="94" spans="1:12" x14ac:dyDescent="0.35">
      <c r="A94" s="2" t="s">
        <v>29</v>
      </c>
      <c r="C94" s="2" t="s">
        <v>6</v>
      </c>
      <c r="D94" s="2">
        <v>38.9</v>
      </c>
    </row>
    <row r="95" spans="1:12" x14ac:dyDescent="0.35">
      <c r="A95" s="2" t="s">
        <v>36</v>
      </c>
      <c r="C95" s="2" t="s">
        <v>6</v>
      </c>
      <c r="D95" s="2">
        <v>34.4</v>
      </c>
    </row>
    <row r="96" spans="1:12" x14ac:dyDescent="0.35">
      <c r="A96" s="2" t="s">
        <v>30</v>
      </c>
      <c r="C96" s="2" t="s">
        <v>6</v>
      </c>
      <c r="D96" s="2">
        <v>53.5</v>
      </c>
    </row>
    <row r="97" spans="1:4" x14ac:dyDescent="0.35">
      <c r="A97" s="2" t="s">
        <v>37</v>
      </c>
      <c r="C97" s="2" t="s">
        <v>6</v>
      </c>
      <c r="D97" s="2">
        <v>54.1</v>
      </c>
    </row>
    <row r="98" spans="1:4" x14ac:dyDescent="0.35">
      <c r="A98" s="2" t="s">
        <v>39</v>
      </c>
      <c r="C98" s="2" t="s">
        <v>6</v>
      </c>
      <c r="D98" s="2">
        <v>90</v>
      </c>
    </row>
    <row r="99" spans="1:4" x14ac:dyDescent="0.35">
      <c r="A99" s="2" t="s">
        <v>38</v>
      </c>
      <c r="C99" s="2" t="s">
        <v>6</v>
      </c>
      <c r="D99" s="2">
        <v>79</v>
      </c>
    </row>
    <row r="100" spans="1:4" x14ac:dyDescent="0.35">
      <c r="A100" s="2" t="s">
        <v>41</v>
      </c>
      <c r="C100" s="2" t="s">
        <v>6</v>
      </c>
      <c r="D100" s="2">
        <v>91</v>
      </c>
    </row>
    <row r="101" spans="1:4" x14ac:dyDescent="0.35">
      <c r="A101" s="2" t="s">
        <v>40</v>
      </c>
      <c r="C101" s="2" t="s">
        <v>6</v>
      </c>
      <c r="D101" s="2">
        <v>68</v>
      </c>
    </row>
    <row r="102" spans="1:4" x14ac:dyDescent="0.35">
      <c r="A102" s="2" t="s">
        <v>42</v>
      </c>
      <c r="C102" s="2" t="s">
        <v>6</v>
      </c>
      <c r="D102" s="2">
        <v>55</v>
      </c>
    </row>
    <row r="103" spans="1:4" x14ac:dyDescent="0.35">
      <c r="A103" s="2" t="s">
        <v>44</v>
      </c>
      <c r="C103" s="2" t="s">
        <v>6</v>
      </c>
      <c r="D103" s="2">
        <v>69</v>
      </c>
    </row>
    <row r="104" spans="1:4" x14ac:dyDescent="0.35">
      <c r="A104" s="2" t="s">
        <v>43</v>
      </c>
      <c r="C104" s="2" t="s">
        <v>6</v>
      </c>
      <c r="D104" s="2">
        <v>63</v>
      </c>
    </row>
    <row r="105" spans="1:4" x14ac:dyDescent="0.35">
      <c r="A105" s="2" t="s">
        <v>54</v>
      </c>
      <c r="C105" s="2" t="s">
        <v>6</v>
      </c>
      <c r="D105" s="2">
        <v>25</v>
      </c>
    </row>
    <row r="106" spans="1:4" x14ac:dyDescent="0.35">
      <c r="A106" s="2" t="s">
        <v>56</v>
      </c>
      <c r="C106" s="2" t="s">
        <v>6</v>
      </c>
      <c r="D106" s="2">
        <v>31</v>
      </c>
    </row>
    <row r="107" spans="1:4" x14ac:dyDescent="0.35">
      <c r="A107" s="2" t="s">
        <v>58</v>
      </c>
      <c r="C107" s="2" t="s">
        <v>6</v>
      </c>
      <c r="D107" s="2">
        <v>31</v>
      </c>
    </row>
    <row r="108" spans="1:4" x14ac:dyDescent="0.35">
      <c r="A108" s="2" t="s">
        <v>59</v>
      </c>
      <c r="C108" s="2" t="s">
        <v>6</v>
      </c>
      <c r="D108" s="2">
        <v>31</v>
      </c>
    </row>
    <row r="109" spans="1:4" x14ac:dyDescent="0.35">
      <c r="A109" s="2" t="s">
        <v>57</v>
      </c>
      <c r="C109" s="2" t="s">
        <v>6</v>
      </c>
      <c r="D109" s="2">
        <v>31</v>
      </c>
    </row>
    <row r="110" spans="1:4" x14ac:dyDescent="0.35">
      <c r="A110" s="2" t="s">
        <v>55</v>
      </c>
      <c r="C110" s="2" t="s">
        <v>6</v>
      </c>
      <c r="D110" s="2">
        <v>25.3</v>
      </c>
    </row>
    <row r="111" spans="1:4" x14ac:dyDescent="0.35">
      <c r="A111" s="2" t="s">
        <v>60</v>
      </c>
      <c r="C111" s="2" t="s">
        <v>6</v>
      </c>
      <c r="D111" s="2">
        <v>25.5</v>
      </c>
    </row>
    <row r="112" spans="1:4" x14ac:dyDescent="0.35">
      <c r="A112" s="2" t="s">
        <v>28</v>
      </c>
      <c r="C112" s="2" t="s">
        <v>6</v>
      </c>
      <c r="D112" s="2">
        <v>40</v>
      </c>
    </row>
    <row r="113" spans="1:4" x14ac:dyDescent="0.35">
      <c r="A113" s="2" t="s">
        <v>45</v>
      </c>
      <c r="C113" s="2" t="s">
        <v>6</v>
      </c>
      <c r="D113" s="2">
        <v>34</v>
      </c>
    </row>
    <row r="114" spans="1:4" x14ac:dyDescent="0.35">
      <c r="A114" s="2" t="s">
        <v>24</v>
      </c>
      <c r="C114" s="2" t="s">
        <v>6</v>
      </c>
      <c r="D114" s="2">
        <v>99.8</v>
      </c>
    </row>
    <row r="115" spans="1:4" x14ac:dyDescent="0.35">
      <c r="A115" s="2" t="s">
        <v>25</v>
      </c>
      <c r="C115" s="2" t="s">
        <v>6</v>
      </c>
      <c r="D115" s="2">
        <v>100.3</v>
      </c>
    </row>
    <row r="116" spans="1:4" x14ac:dyDescent="0.35">
      <c r="A116" s="2" t="s">
        <v>26</v>
      </c>
      <c r="C116" s="2" t="s">
        <v>6</v>
      </c>
      <c r="D116" s="2">
        <v>103</v>
      </c>
    </row>
    <row r="117" spans="1:4" x14ac:dyDescent="0.35">
      <c r="A117" s="2" t="s">
        <v>27</v>
      </c>
      <c r="C117" s="2" t="s">
        <v>6</v>
      </c>
      <c r="D117" s="2">
        <v>98</v>
      </c>
    </row>
    <row r="118" spans="1:4" x14ac:dyDescent="0.35">
      <c r="A118" s="2" t="s">
        <v>49</v>
      </c>
      <c r="C118" s="2" t="s">
        <v>6</v>
      </c>
      <c r="D118" s="2">
        <v>90.5</v>
      </c>
    </row>
    <row r="119" spans="1:4" x14ac:dyDescent="0.35">
      <c r="A119" s="2" t="s">
        <v>46</v>
      </c>
      <c r="C119" s="2" t="s">
        <v>6</v>
      </c>
      <c r="D119" s="2">
        <v>86.5</v>
      </c>
    </row>
    <row r="120" spans="1:4" x14ac:dyDescent="0.35">
      <c r="A120" s="2" t="s">
        <v>47</v>
      </c>
      <c r="C120" s="2" t="s">
        <v>6</v>
      </c>
      <c r="D120" s="2">
        <v>84.3</v>
      </c>
    </row>
    <row r="121" spans="1:4" x14ac:dyDescent="0.35">
      <c r="A121" s="2" t="s">
        <v>48</v>
      </c>
      <c r="C121" s="2" t="s">
        <v>6</v>
      </c>
      <c r="D121" s="2">
        <v>87.5</v>
      </c>
    </row>
    <row r="122" spans="1:4" x14ac:dyDescent="0.35">
      <c r="A122" s="2" t="s">
        <v>50</v>
      </c>
      <c r="C122" s="2" t="s">
        <v>6</v>
      </c>
      <c r="D122" s="2">
        <v>43</v>
      </c>
    </row>
    <row r="123" spans="1:4" x14ac:dyDescent="0.35">
      <c r="A123" s="2" t="s">
        <v>51</v>
      </c>
      <c r="C123" s="2" t="s">
        <v>6</v>
      </c>
      <c r="D123" s="2">
        <v>39.700000000000003</v>
      </c>
    </row>
    <row r="124" spans="1:4" x14ac:dyDescent="0.35">
      <c r="A124" s="2" t="s">
        <v>52</v>
      </c>
      <c r="C124" s="2" t="s">
        <v>6</v>
      </c>
      <c r="D124" s="2">
        <v>38.299999999999997</v>
      </c>
    </row>
    <row r="125" spans="1:4" s="5" customFormat="1" x14ac:dyDescent="0.35">
      <c r="A125" s="5" t="s">
        <v>20</v>
      </c>
      <c r="B125" s="12"/>
      <c r="C125" s="5" t="s">
        <v>3</v>
      </c>
      <c r="D125" s="5">
        <v>173</v>
      </c>
    </row>
    <row r="126" spans="1:4" x14ac:dyDescent="0.35">
      <c r="A126" s="2" t="s">
        <v>31</v>
      </c>
      <c r="C126" s="2" t="s">
        <v>3</v>
      </c>
      <c r="D126" s="2">
        <v>137</v>
      </c>
    </row>
    <row r="127" spans="1:4" x14ac:dyDescent="0.35">
      <c r="A127" s="2" t="s">
        <v>29</v>
      </c>
      <c r="C127" s="2" t="s">
        <v>3</v>
      </c>
      <c r="D127" s="2">
        <v>111</v>
      </c>
    </row>
    <row r="128" spans="1:4" x14ac:dyDescent="0.35">
      <c r="A128" s="2" t="s">
        <v>36</v>
      </c>
      <c r="C128" s="2" t="s">
        <v>3</v>
      </c>
      <c r="D128" s="2">
        <v>111</v>
      </c>
    </row>
    <row r="129" spans="1:4" x14ac:dyDescent="0.35">
      <c r="A129" s="2" t="s">
        <v>30</v>
      </c>
      <c r="C129" s="2" t="s">
        <v>3</v>
      </c>
      <c r="D129" s="2">
        <v>154</v>
      </c>
    </row>
    <row r="130" spans="1:4" x14ac:dyDescent="0.35">
      <c r="A130" s="2" t="s">
        <v>37</v>
      </c>
      <c r="C130" s="2" t="s">
        <v>3</v>
      </c>
      <c r="D130" s="2">
        <v>148</v>
      </c>
    </row>
    <row r="131" spans="1:4" x14ac:dyDescent="0.35">
      <c r="A131" s="2" t="s">
        <v>39</v>
      </c>
      <c r="C131" s="2" t="s">
        <v>3</v>
      </c>
      <c r="D131" s="2">
        <v>170</v>
      </c>
    </row>
    <row r="132" spans="1:4" x14ac:dyDescent="0.35">
      <c r="A132" s="2" t="s">
        <v>38</v>
      </c>
      <c r="C132" s="2" t="s">
        <v>3</v>
      </c>
      <c r="D132" s="2">
        <v>170</v>
      </c>
    </row>
    <row r="133" spans="1:4" x14ac:dyDescent="0.35">
      <c r="A133" s="2" t="s">
        <v>41</v>
      </c>
      <c r="C133" s="2" t="s">
        <v>3</v>
      </c>
      <c r="D133" s="2">
        <v>160</v>
      </c>
    </row>
    <row r="134" spans="1:4" x14ac:dyDescent="0.35">
      <c r="A134" s="2" t="s">
        <v>40</v>
      </c>
      <c r="C134" s="2" t="s">
        <v>3</v>
      </c>
      <c r="D134" s="2">
        <v>160</v>
      </c>
    </row>
    <row r="135" spans="1:4" x14ac:dyDescent="0.35">
      <c r="A135" s="2" t="s">
        <v>42</v>
      </c>
      <c r="C135" s="2" t="s">
        <v>3</v>
      </c>
      <c r="D135" s="2">
        <v>149</v>
      </c>
    </row>
    <row r="136" spans="1:4" x14ac:dyDescent="0.35">
      <c r="A136" s="2" t="s">
        <v>44</v>
      </c>
      <c r="C136" s="2" t="s">
        <v>3</v>
      </c>
      <c r="D136" s="2">
        <v>161</v>
      </c>
    </row>
    <row r="137" spans="1:4" x14ac:dyDescent="0.35">
      <c r="A137" s="2" t="s">
        <v>43</v>
      </c>
      <c r="C137" s="2" t="s">
        <v>3</v>
      </c>
      <c r="D137" s="2">
        <v>136</v>
      </c>
    </row>
    <row r="138" spans="1:4" x14ac:dyDescent="0.35">
      <c r="A138" s="2" t="s">
        <v>54</v>
      </c>
      <c r="C138" s="2" t="s">
        <v>3</v>
      </c>
      <c r="D138" s="2">
        <v>78</v>
      </c>
    </row>
    <row r="139" spans="1:4" x14ac:dyDescent="0.35">
      <c r="A139" s="2" t="s">
        <v>56</v>
      </c>
      <c r="C139" s="2" t="s">
        <v>3</v>
      </c>
      <c r="D139" s="2">
        <v>78</v>
      </c>
    </row>
    <row r="140" spans="1:4" x14ac:dyDescent="0.35">
      <c r="A140" s="2" t="s">
        <v>58</v>
      </c>
      <c r="C140" s="2" t="s">
        <v>3</v>
      </c>
      <c r="D140" s="2">
        <v>78</v>
      </c>
    </row>
    <row r="141" spans="1:4" x14ac:dyDescent="0.35">
      <c r="A141" s="2" t="s">
        <v>59</v>
      </c>
      <c r="C141" s="2" t="s">
        <v>3</v>
      </c>
      <c r="D141" s="2">
        <v>78</v>
      </c>
    </row>
    <row r="142" spans="1:4" x14ac:dyDescent="0.35">
      <c r="A142" s="2" t="s">
        <v>57</v>
      </c>
      <c r="C142" s="2" t="s">
        <v>3</v>
      </c>
      <c r="D142" s="2">
        <v>78</v>
      </c>
    </row>
    <row r="143" spans="1:4" x14ac:dyDescent="0.35">
      <c r="A143" s="2" t="s">
        <v>55</v>
      </c>
      <c r="C143" s="2" t="s">
        <v>3</v>
      </c>
      <c r="D143" s="2">
        <v>76.5</v>
      </c>
    </row>
    <row r="144" spans="1:4" x14ac:dyDescent="0.35">
      <c r="A144" s="2" t="s">
        <v>60</v>
      </c>
      <c r="C144" s="2" t="s">
        <v>3</v>
      </c>
      <c r="D144" s="2">
        <v>98.5</v>
      </c>
    </row>
  </sheetData>
  <pageMargins left="0.7" right="0.7" top="0.75" bottom="0.75" header="0.3" footer="0.3"/>
  <pageSetup paperSize="9" orientation="portrait" verticalDpi="0" r:id="rId1"/>
</worksheet>
</file>

<file path=docMetadata/LabelInfo.xml><?xml version="1.0" encoding="utf-8"?>
<clbl:labelList xmlns:clbl="http://schemas.microsoft.com/office/2020/mipLabelMetadata">
  <clbl:label id="{b4fff8a3-050f-428f-b966-cc56f581f9b1}" enabled="1" method="Standard" siteId="{7dfbfb93-19b6-4985-ac7e-501a3793845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Observed</vt:lpstr>
      <vt:lpstr>Observed-orig</vt:lpstr>
    </vt:vector>
  </TitlesOfParts>
  <Company>University of Southern Queensland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Suman Gajurel</dc:creator>
  <cp:lastModifiedBy>Peter Innes</cp:lastModifiedBy>
  <dcterms:created xsi:type="dcterms:W3CDTF">2024-08-13T23:40:00Z</dcterms:created>
  <dcterms:modified xsi:type="dcterms:W3CDTF">2026-03-19T06:13:05Z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4fff8a3-050f-428f-b966-cc56f581f9b1_Enabled">
    <vt:lpwstr>true</vt:lpwstr>
  </property>
  <property fmtid="{D5CDD505-2E9C-101B-9397-08002B2CF9AE}" pid="3" name="MSIP_Label_b4fff8a3-050f-428f-b966-cc56f581f9b1_SetDate">
    <vt:lpwstr>2024-08-13T23:40:00Z</vt:lpwstr>
  </property>
  <property fmtid="{D5CDD505-2E9C-101B-9397-08002B2CF9AE}" pid="4" name="MSIP_Label_b4fff8a3-050f-428f-b966-cc56f581f9b1_Method">
    <vt:lpwstr>Standard</vt:lpwstr>
  </property>
  <property fmtid="{D5CDD505-2E9C-101B-9397-08002B2CF9AE}" pid="5" name="MSIP_Label_b4fff8a3-050f-428f-b966-cc56f581f9b1_Name">
    <vt:lpwstr>Official</vt:lpwstr>
  </property>
  <property fmtid="{D5CDD505-2E9C-101B-9397-08002B2CF9AE}" pid="6" name="MSIP_Label_b4fff8a3-050f-428f-b966-cc56f581f9b1_SiteId">
    <vt:lpwstr>7dfbfb93-19b6-4985-ac7e-501a37938456</vt:lpwstr>
  </property>
  <property fmtid="{D5CDD505-2E9C-101B-9397-08002B2CF9AE}" pid="7" name="MSIP_Label_b4fff8a3-050f-428f-b966-cc56f581f9b1_ActionId">
    <vt:lpwstr>41f6bfa8-e1ac-48ac-96cc-028ecd7cd740</vt:lpwstr>
  </property>
  <property fmtid="{D5CDD505-2E9C-101B-9397-08002B2CF9AE}" pid="8" name="MSIP_Label_b4fff8a3-050f-428f-b966-cc56f581f9b1_ContentBits">
    <vt:lpwstr>0</vt:lpwstr>
  </property>
</Properties>
</file>